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mop\Dropbox\Projects_ONGOING\2021-2024_FISH4ACP\2024_DADOS_PESCA\1_Questionnaires_and_sampling_design\xls_forms\"/>
    </mc:Choice>
  </mc:AlternateContent>
  <xr:revisionPtr revIDLastSave="0" documentId="13_ncr:1_{1E09EF0F-39FB-4ABB-91E0-38BEF98FB6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rvey" sheetId="4" r:id="rId1"/>
    <sheet name="choices" sheetId="2" r:id="rId2"/>
    <sheet name="settings" sheetId="3" r:id="rId3"/>
  </sheets>
  <definedNames>
    <definedName name="_xlnm._FilterDatabase" localSheetId="0">survey!$A$1:$K$12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8" i="4" l="1"/>
  <c r="J56" i="4"/>
  <c r="B58" i="4"/>
  <c r="B56" i="4"/>
  <c r="J51" i="4"/>
  <c r="B51" i="4"/>
  <c r="J49" i="4"/>
  <c r="B49" i="4"/>
  <c r="J44" i="4"/>
  <c r="B44" i="4"/>
  <c r="J38" i="4"/>
  <c r="B38" i="4"/>
  <c r="J33" i="4"/>
  <c r="B33" i="4"/>
  <c r="J27" i="4"/>
  <c r="B27" i="4"/>
  <c r="J21" i="4"/>
  <c r="B21" i="4"/>
  <c r="J16" i="4"/>
  <c r="B16" i="4"/>
</calcChain>
</file>

<file path=xl/sharedStrings.xml><?xml version="1.0" encoding="utf-8"?>
<sst xmlns="http://schemas.openxmlformats.org/spreadsheetml/2006/main" count="542" uniqueCount="298">
  <si>
    <t>type</t>
  </si>
  <si>
    <t>name</t>
  </si>
  <si>
    <t>list name</t>
  </si>
  <si>
    <t>text</t>
  </si>
  <si>
    <t>required</t>
  </si>
  <si>
    <t>appearance</t>
  </si>
  <si>
    <t>date</t>
  </si>
  <si>
    <t>relevant</t>
  </si>
  <si>
    <t>form_title</t>
  </si>
  <si>
    <t>form_id</t>
  </si>
  <si>
    <t>yes</t>
  </si>
  <si>
    <t>version</t>
  </si>
  <si>
    <t>abade</t>
  </si>
  <si>
    <t>concom</t>
  </si>
  <si>
    <t>outro</t>
  </si>
  <si>
    <t>nao-pesca</t>
  </si>
  <si>
    <t>label</t>
  </si>
  <si>
    <t>nao-combustvel</t>
  </si>
  <si>
    <t>outra</t>
  </si>
  <si>
    <t>mal-tempo</t>
  </si>
  <si>
    <t>Por falta de combustivel</t>
  </si>
  <si>
    <t>Por mal tempo</t>
  </si>
  <si>
    <t>Outra razão</t>
  </si>
  <si>
    <t>Porque é que não houve pesca?</t>
  </si>
  <si>
    <t>deviceid</t>
  </si>
  <si>
    <t>Device ID</t>
  </si>
  <si>
    <t>integer</t>
  </si>
  <si>
    <t>begin_group</t>
  </si>
  <si>
    <t>field-list</t>
  </si>
  <si>
    <t>note</t>
  </si>
  <si>
    <t>end_group</t>
  </si>
  <si>
    <t>REDE VOADOR</t>
  </si>
  <si>
    <t>SUBMARINO</t>
  </si>
  <si>
    <t>instance_name</t>
  </si>
  <si>
    <t>image</t>
  </si>
  <si>
    <t>select_multiple nao-pesca</t>
  </si>
  <si>
    <t>esprainha</t>
  </si>
  <si>
    <t>choice_filter</t>
  </si>
  <si>
    <t>localizacao = ${ilha}</t>
  </si>
  <si>
    <t>localizacao = ${distrito}</t>
  </si>
  <si>
    <t>constraint</t>
  </si>
  <si>
    <t>constraint message</t>
  </si>
  <si>
    <t>calculation</t>
  </si>
  <si>
    <t>select_one ilha</t>
  </si>
  <si>
    <t>ilha</t>
  </si>
  <si>
    <t>Ilha</t>
  </si>
  <si>
    <t>select_one distrito</t>
  </si>
  <si>
    <t>apagar.distrito</t>
  </si>
  <si>
    <t>Distrito</t>
  </si>
  <si>
    <t>selected(${ilha},'saotome')</t>
  </si>
  <si>
    <t>calculate</t>
  </si>
  <si>
    <t>distrito</t>
  </si>
  <si>
    <t>if(${ilha} = 'principe', 'pague',${apagar.distrito})</t>
  </si>
  <si>
    <t>select_one comunidade</t>
  </si>
  <si>
    <t>comunidade</t>
  </si>
  <si>
    <t>Comunidade</t>
  </si>
  <si>
    <t>select_one inquiridor</t>
  </si>
  <si>
    <t>apagar-inquiridor</t>
  </si>
  <si>
    <t>Nome do/a inquiridor/a</t>
  </si>
  <si>
    <t>principe</t>
  </si>
  <si>
    <t>Príncipe</t>
  </si>
  <si>
    <t>saotome</t>
  </si>
  <si>
    <t>São Tomé</t>
  </si>
  <si>
    <t>agua.grande</t>
  </si>
  <si>
    <t>Água Grande</t>
  </si>
  <si>
    <t>cantagalo</t>
  </si>
  <si>
    <t>Cantagalo</t>
  </si>
  <si>
    <t>caue</t>
  </si>
  <si>
    <t>Caué</t>
  </si>
  <si>
    <t>lemba</t>
  </si>
  <si>
    <t xml:space="preserve">Lembá </t>
  </si>
  <si>
    <t>lobata</t>
  </si>
  <si>
    <t>Lobata</t>
  </si>
  <si>
    <t>me.zoxi</t>
  </si>
  <si>
    <t>Mé-Zoxi</t>
  </si>
  <si>
    <t>pague</t>
  </si>
  <si>
    <t>Pagué (Região Autónoma do Príncipe)</t>
  </si>
  <si>
    <t>bistp</t>
  </si>
  <si>
    <t>Ponte BISTP</t>
  </si>
  <si>
    <t>pantufo</t>
  </si>
  <si>
    <t>Pantufo</t>
  </si>
  <si>
    <t>praia.cruz</t>
  </si>
  <si>
    <t>Praia Cruz</t>
  </si>
  <si>
    <t>praia.gamboa</t>
  </si>
  <si>
    <t>Praia Gamboa</t>
  </si>
  <si>
    <t>praia.loxinga</t>
  </si>
  <si>
    <t>Praia Loxinga</t>
  </si>
  <si>
    <t>sao.pedro</t>
  </si>
  <si>
    <t>São Pedro</t>
  </si>
  <si>
    <t>almoxarife</t>
  </si>
  <si>
    <t>Almoxarife</t>
  </si>
  <si>
    <t>cova.agua</t>
  </si>
  <si>
    <t>Cova Água</t>
  </si>
  <si>
    <t>messias.alves</t>
  </si>
  <si>
    <t>Messias Alves</t>
  </si>
  <si>
    <t>plano.agua.ize</t>
  </si>
  <si>
    <t>Plano de Água Izé</t>
  </si>
  <si>
    <t>ribeira.afonso</t>
  </si>
  <si>
    <t>Ribeira Afonso</t>
  </si>
  <si>
    <t>angolares</t>
  </si>
  <si>
    <t>Angolares</t>
  </si>
  <si>
    <t>angra.toldo</t>
  </si>
  <si>
    <t>Angra Toldo</t>
  </si>
  <si>
    <t>malanza</t>
  </si>
  <si>
    <t>Malanza</t>
  </si>
  <si>
    <t>monte.mario</t>
  </si>
  <si>
    <t>Monte Mário</t>
  </si>
  <si>
    <t>porto.alegre</t>
  </si>
  <si>
    <t>Porto Alegre</t>
  </si>
  <si>
    <t>praia.pesqueira</t>
  </si>
  <si>
    <t>Praia Pesqueira</t>
  </si>
  <si>
    <t>ribeira.peixe</t>
  </si>
  <si>
    <t>Ribeira Peixe</t>
  </si>
  <si>
    <t>rolas</t>
  </si>
  <si>
    <t>Ilhéu Rolas</t>
  </si>
  <si>
    <t>yo.grande</t>
  </si>
  <si>
    <t>Iô Grande</t>
  </si>
  <si>
    <t>agua.toma</t>
  </si>
  <si>
    <t>Água Tomá</t>
  </si>
  <si>
    <t>benga</t>
  </si>
  <si>
    <t>Benga</t>
  </si>
  <si>
    <t>esprainha.praia</t>
  </si>
  <si>
    <t>Esprainha</t>
  </si>
  <si>
    <t>paga.fogo</t>
  </si>
  <si>
    <t>Paga Fogo</t>
  </si>
  <si>
    <t>ponta.figo</t>
  </si>
  <si>
    <t>Ponta Figo</t>
  </si>
  <si>
    <t>praia.brita</t>
  </si>
  <si>
    <t>Praia Brita</t>
  </si>
  <si>
    <t>praia.planca</t>
  </si>
  <si>
    <t>Praia Planca</t>
  </si>
  <si>
    <t>ribeira.palma</t>
  </si>
  <si>
    <t>Ribeira Palma</t>
  </si>
  <si>
    <t>rosema</t>
  </si>
  <si>
    <t>Rosema</t>
  </si>
  <si>
    <t>santa.catarina</t>
  </si>
  <si>
    <t>Santa Catarina</t>
  </si>
  <si>
    <t>fernao.dias</t>
  </si>
  <si>
    <t>Fernão Dias</t>
  </si>
  <si>
    <t>micolo</t>
  </si>
  <si>
    <t>Micoló</t>
  </si>
  <si>
    <t>morro.peixe</t>
  </si>
  <si>
    <t>Morro Peixe</t>
  </si>
  <si>
    <t>praia15</t>
  </si>
  <si>
    <t>Praia 15</t>
  </si>
  <si>
    <t>praia.melao</t>
  </si>
  <si>
    <t>Praia Melão</t>
  </si>
  <si>
    <t>Abade</t>
  </si>
  <si>
    <t>capitania</t>
  </si>
  <si>
    <t>Capitania</t>
  </si>
  <si>
    <t>Concom</t>
  </si>
  <si>
    <t>praia.abelha</t>
  </si>
  <si>
    <t>Praia Abelha</t>
  </si>
  <si>
    <t>praia.burra</t>
  </si>
  <si>
    <t>Praia Burra</t>
  </si>
  <si>
    <t>praia.caixao</t>
  </si>
  <si>
    <t>Praia Caixão</t>
  </si>
  <si>
    <t>praia.campanha</t>
  </si>
  <si>
    <t>Praia Campanha</t>
  </si>
  <si>
    <t>praia.iola</t>
  </si>
  <si>
    <t>Praia Iola</t>
  </si>
  <si>
    <t>praia.lapa</t>
  </si>
  <si>
    <t>Praia Lapa</t>
  </si>
  <si>
    <t>praia.seabra</t>
  </si>
  <si>
    <t>Praia Seabra</t>
  </si>
  <si>
    <t>praia.seca</t>
  </si>
  <si>
    <t>Praia Seca</t>
  </si>
  <si>
    <t>praia.sundy</t>
  </si>
  <si>
    <t>Praia Sundy</t>
  </si>
  <si>
    <t>ribeira.ize</t>
  </si>
  <si>
    <t>Ribeira Ize</t>
  </si>
  <si>
    <t>santo.antonio</t>
  </si>
  <si>
    <t>Santo António</t>
  </si>
  <si>
    <t>sao.joao</t>
  </si>
  <si>
    <t>São João</t>
  </si>
  <si>
    <t>sao.pedro.principe</t>
  </si>
  <si>
    <t>São Pedro (Água Namoro)</t>
  </si>
  <si>
    <t>inquiridor</t>
  </si>
  <si>
    <t>Antonio.Manuel.Pires</t>
  </si>
  <si>
    <t>António Manuel Pires</t>
  </si>
  <si>
    <t>Arlindo.Evaristo.Costa</t>
  </si>
  <si>
    <t>Arlindo Evaristo Costa</t>
  </si>
  <si>
    <t>Aurélio Lourenço Doze da Cruz</t>
  </si>
  <si>
    <t>Cláudio Antíónio S. Vila Nova</t>
  </si>
  <si>
    <t>Gaspar.Afonso.dos.Reis</t>
  </si>
  <si>
    <t>Gaspar Afonso dos Reis</t>
  </si>
  <si>
    <t>Layrs.de.Araujo.Castro</t>
  </si>
  <si>
    <t>Layr's de Araújo Castro</t>
  </si>
  <si>
    <t>Laurindo.da.Costa.Lima.Neto</t>
  </si>
  <si>
    <t>Laurindo da Costa Lima Neto</t>
  </si>
  <si>
    <t>Yazalde.da.Silva.Amor.Divino</t>
  </si>
  <si>
    <t>Yazalde da Silva Amor Divino</t>
  </si>
  <si>
    <t>Olegario.Agostinho.Braga</t>
  </si>
  <si>
    <t>Olegário Agostinho Braga</t>
  </si>
  <si>
    <t>Cristovao.Antonio.da.Trindade</t>
  </si>
  <si>
    <t>Cristovão António da Trindade</t>
  </si>
  <si>
    <t>Deolinda.Pereira.Landim</t>
  </si>
  <si>
    <t>Deolinda Pereira Landim</t>
  </si>
  <si>
    <t>Dario.de.Sousa.Vaz.Campo</t>
  </si>
  <si>
    <t>Deolinda.DApresentacao</t>
  </si>
  <si>
    <t>Deolinda D'Apresentação</t>
  </si>
  <si>
    <t>Valerio.da.Graca</t>
  </si>
  <si>
    <t>Valerio da Graça</t>
  </si>
  <si>
    <t>Outro</t>
  </si>
  <si>
    <t>apagar-inquiridor-outro</t>
  </si>
  <si>
    <t>selected(${apagar-inquiridor},'outro')</t>
  </si>
  <si>
    <t>if(${apagar-inquiridor} = 'outro', ${apagar-inquiridor-outro},${apagar-inquiridor})</t>
  </si>
  <si>
    <t>data</t>
  </si>
  <si>
    <t>REDE BRISA</t>
  </si>
  <si>
    <t>apagar1</t>
  </si>
  <si>
    <t>apagar2</t>
  </si>
  <si>
    <t>apagar3</t>
  </si>
  <si>
    <t>apagar4</t>
  </si>
  <si>
    <t>apagar5</t>
  </si>
  <si>
    <t>apagar6</t>
  </si>
  <si>
    <t>a</t>
  </si>
  <si>
    <t>b</t>
  </si>
  <si>
    <t>c</t>
  </si>
  <si>
    <t>d</t>
  </si>
  <si>
    <t>e</t>
  </si>
  <si>
    <t>f</t>
  </si>
  <si>
    <t>VOADOR PANHA</t>
  </si>
  <si>
    <t>FIO E ANZOL</t>
  </si>
  <si>
    <t>apagar-rede-demersal</t>
  </si>
  <si>
    <t>${apagar-rede-demersal}</t>
  </si>
  <si>
    <t>Quantas embarcações sairam à pesca de ${apagar-rede-demersal}?</t>
  </si>
  <si>
    <t>apagar-VOADOR-PANHA</t>
  </si>
  <si>
    <t>if(${ilha} = 'sao-tome', ${apagar-VOADOR-PANHA},0)</t>
  </si>
  <si>
    <t>Quantas embarcações foram na pesca de VOADOR PANHÁ?</t>
  </si>
  <si>
    <t>Quantas embarcações sairam à pesca de REDE BRISA?</t>
  </si>
  <si>
    <t>Quantas embarcações foram à pesca de SUBMARINO?</t>
  </si>
  <si>
    <t>REDE-EMALHAR-SUPERFICIE.jpg</t>
  </si>
  <si>
    <t>REDE-BRISA.jpg</t>
  </si>
  <si>
    <t>REDE-EMALHAR-DEMERSAL.jpg</t>
  </si>
  <si>
    <t>VOADOR-PANHA.jpg</t>
  </si>
  <si>
    <t>SUBMARINO.jpg</t>
  </si>
  <si>
    <t>FIO-E-ANZOL.jpg</t>
  </si>
  <si>
    <t>Quantas embarcações sairam à pesca de REDE VOADOR?</t>
  </si>
  <si>
    <t>nao-pesca-razao</t>
  </si>
  <si>
    <t>As embarcações foram pescar hoje?</t>
  </si>
  <si>
    <t>Quantas embarcações MOTORIZADAS foram na pesca de FIO?</t>
  </si>
  <si>
    <t>Quantas embarcações NÃO MOTORIZADAS foram na pesca de FIO?</t>
  </si>
  <si>
    <t>esforco</t>
  </si>
  <si>
    <t>Setembro 2024</t>
  </si>
  <si>
    <t>style</t>
  </si>
  <si>
    <t>pages</t>
  </si>
  <si>
    <t>allow_choice_duplicates</t>
  </si>
  <si>
    <t>concat('Esforco ',${comunidade}, ' ', ${data})</t>
  </si>
  <si>
    <t>select_one sim_nao</t>
  </si>
  <si>
    <t>sim_nao</t>
  </si>
  <si>
    <t>sim</t>
  </si>
  <si>
    <t>nao</t>
  </si>
  <si>
    <t>Sim</t>
  </si>
  <si>
    <t>Não</t>
  </si>
  <si>
    <t>localizacao</t>
  </si>
  <si>
    <t>g</t>
  </si>
  <si>
    <t>SANTOLA</t>
  </si>
  <si>
    <t>Quantas embarcações foram na pesca de SANTOLA?</t>
  </si>
  <si>
    <t>PESCA-DE-SANTOLA.jpg</t>
  </si>
  <si>
    <t>if(${distrito} = 'lemba', ${apagar-PESCA-DE-SANTOLA},0)</t>
  </si>
  <si>
    <t>apagar-PESCA-DE-SANTOLA</t>
  </si>
  <si>
    <t>MONITORAMENTO DE ESFORCO</t>
  </si>
  <si>
    <t>pesca</t>
  </si>
  <si>
    <t>selected(${pesca},'nao')</t>
  </si>
  <si>
    <t>select_one tipo-embarcacao</t>
  </si>
  <si>
    <t>tipo-embarcacao</t>
  </si>
  <si>
    <t>Qual é o tipo de embarcação?</t>
  </si>
  <si>
    <t>artesanal</t>
  </si>
  <si>
    <t>Artesanal (canoas, praos ou botes)</t>
  </si>
  <si>
    <t>semiindustrial</t>
  </si>
  <si>
    <t>Semi-industrial (cariocos ou traineras)</t>
  </si>
  <si>
    <t>selected(${ilha},'saotome') and selected(${pesca},'sim')  and selected(${tipo-embarcacao},'artesanal')</t>
  </si>
  <si>
    <t>selected(${pesca},'sim')  and selected(${tipo-embarcacao},'artesanal')</t>
  </si>
  <si>
    <t>selected(${distrito},'lemba') and selected(${pesca},'sim')  and selected(${tipo-embarcacao},'artesanal')</t>
  </si>
  <si>
    <t>SEMI-INDUSTRIAL</t>
  </si>
  <si>
    <t>h</t>
  </si>
  <si>
    <t>selected(${pesca},'sim')  and selected(${tipo-embarcacao},'semiindustrial')</t>
  </si>
  <si>
    <t>Quantos CARIOCOS sairam pescar HOJE?</t>
  </si>
  <si>
    <t>Quantas TRAINERAS sairam pescar HOJE?</t>
  </si>
  <si>
    <t>if(${ilha} = 'saotome', 'REDE FEIJÃO','REDE MALHADEIRA')</t>
  </si>
  <si>
    <t>REDE-EMALHAR-SUPERFICIE-apagar</t>
  </si>
  <si>
    <t>REDE-BRISA-apagar</t>
  </si>
  <si>
    <t>REDE-EMALHAR-DEMERSAL-apagar</t>
  </si>
  <si>
    <t>VOADOR-PANHA-apagar</t>
  </si>
  <si>
    <t>PESCA-DE-SANTOLA-apagar</t>
  </si>
  <si>
    <t>FIO-E-ANZOL-MOTORIZADA-apagar</t>
  </si>
  <si>
    <t>FIO-E-ANZOL-NAO-MOTORIZADA-apagar</t>
  </si>
  <si>
    <t>CARIOCO-apagar</t>
  </si>
  <si>
    <t>TRAINERA-apagar</t>
  </si>
  <si>
    <t>SUBMARINO-apagar</t>
  </si>
  <si>
    <t>picao</t>
  </si>
  <si>
    <t>Picão</t>
  </si>
  <si>
    <t>Aurelio.Lourenco.Doze.da.Cruz</t>
  </si>
  <si>
    <t>Claudio.Antonio.S.Vila.Nova</t>
  </si>
  <si>
    <t>Dario de Sousa Vaz Campo</t>
  </si>
  <si>
    <t>Nelito Lopes</t>
  </si>
  <si>
    <t>Nelito.Lopes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</si>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</sst>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0" fillId="0" borderId="1" xfId="0" applyBorder="1"/>
    <xf numFmtId="17" fontId="0" fillId="0" borderId="0" xfId="0" applyNumberFormat="1"/>
    <xf numFmtId="0" fontId="0" fillId="2" borderId="0" xfId="0" applyFill="1"/>
    <xf numFmtId="0" fontId="6" fillId="0" borderId="0" xfId="1" applyFont="1"/>
    <xf numFmtId="0" fontId="7" fillId="0" borderId="2" xfId="0" applyFont="1" applyBorder="1"/>
    <xf numFmtId="0" fontId="2" fillId="0" borderId="2" xfId="0" applyFont="1" applyBorder="1"/>
    <xf numFmtId="0" fontId="6" fillId="0" borderId="2" xfId="0" applyFont="1" applyBorder="1"/>
    <xf numFmtId="0" fontId="8" fillId="0" borderId="2" xfId="0" applyFont="1" applyBorder="1"/>
    <xf numFmtId="0" fontId="0" fillId="0" borderId="2" xfId="0" applyBorder="1"/>
    <xf numFmtId="0" fontId="3" fillId="0" borderId="2" xfId="0" applyFont="1" applyBorder="1"/>
    <xf numFmtId="0" fontId="4" fillId="0" borderId="2" xfId="0" applyFont="1" applyBorder="1"/>
    <xf numFmtId="0" fontId="4" fillId="2" borderId="2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0" fillId="0" borderId="3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65C14-9E52-4AB4-911F-10C6EDD60CF9}">
  <dimension ref="A1:K60"/>
  <sheetViews>
    <sheetView tabSelected="1" zoomScaleNormal="100" workbookViewId="0">
      <pane xSplit="2" ySplit="1" topLeftCell="C41" activePane="bottomRight" state="frozen"/>
      <selection pane="topRight" activeCell="K1" sqref="K1"/>
      <selection pane="bottomLeft" activeCell="A12" sqref="A12"/>
      <selection pane="bottomRight" activeCell="K54" sqref="K54"/>
    </sheetView>
  </sheetViews>
  <sheetFormatPr defaultRowHeight="14.4" x14ac:dyDescent="0.3"/>
  <cols>
    <col min="1" max="1" width="22" style="12" bestFit="1" customWidth="1"/>
    <col min="2" max="2" width="36" style="7" bestFit="1" customWidth="1"/>
    <col min="3" max="3" width="46.88671875" style="10" customWidth="1"/>
    <col min="4" max="4" width="23.44140625" style="10" customWidth="1"/>
    <col min="5" max="5" width="13.33203125" style="10" customWidth="1"/>
    <col min="6" max="6" width="21.6640625" style="10" bestFit="1" customWidth="1"/>
    <col min="7" max="8" width="13.33203125" style="10" customWidth="1"/>
    <col min="9" max="9" width="8.6640625" style="10" bestFit="1" customWidth="1"/>
    <col min="10" max="10" width="8.6640625" style="10" customWidth="1"/>
    <col min="11" max="11" width="9.109375" style="10"/>
  </cols>
  <sheetData>
    <row r="1" spans="1:11" s="1" customFormat="1" x14ac:dyDescent="0.3">
      <c r="A1" s="11" t="s">
        <v>0</v>
      </c>
      <c r="B1" s="7" t="s">
        <v>1</v>
      </c>
      <c r="C1" s="7" t="s">
        <v>16</v>
      </c>
      <c r="D1" s="7" t="s">
        <v>7</v>
      </c>
      <c r="E1" s="7" t="s">
        <v>5</v>
      </c>
      <c r="F1" s="7" t="s">
        <v>37</v>
      </c>
      <c r="G1" s="7" t="s">
        <v>40</v>
      </c>
      <c r="H1" s="7" t="s">
        <v>41</v>
      </c>
      <c r="I1" s="7" t="s">
        <v>4</v>
      </c>
      <c r="J1" s="7" t="s">
        <v>42</v>
      </c>
      <c r="K1" s="7" t="s">
        <v>34</v>
      </c>
    </row>
    <row r="2" spans="1:11" s="1" customFormat="1" x14ac:dyDescent="0.3">
      <c r="A2" s="9" t="s">
        <v>43</v>
      </c>
      <c r="B2" s="7" t="s">
        <v>44</v>
      </c>
      <c r="C2" s="8" t="s">
        <v>45</v>
      </c>
      <c r="D2" s="7"/>
      <c r="E2" s="7"/>
      <c r="F2" s="7"/>
      <c r="G2" s="7"/>
      <c r="H2" s="7"/>
      <c r="I2" s="10" t="s">
        <v>10</v>
      </c>
      <c r="J2" s="7"/>
      <c r="K2" s="8"/>
    </row>
    <row r="3" spans="1:11" s="1" customFormat="1" x14ac:dyDescent="0.3">
      <c r="A3" s="12" t="s">
        <v>264</v>
      </c>
      <c r="B3" s="7" t="s">
        <v>265</v>
      </c>
      <c r="C3" s="10" t="s">
        <v>266</v>
      </c>
      <c r="D3" s="7"/>
      <c r="E3" s="7"/>
      <c r="F3" s="6"/>
      <c r="G3" s="7"/>
      <c r="H3" s="7"/>
      <c r="I3" s="10" t="s">
        <v>10</v>
      </c>
      <c r="J3" s="7"/>
      <c r="K3" s="7"/>
    </row>
    <row r="4" spans="1:11" s="1" customFormat="1" x14ac:dyDescent="0.3">
      <c r="A4" s="9" t="s">
        <v>46</v>
      </c>
      <c r="B4" s="7" t="s">
        <v>47</v>
      </c>
      <c r="C4" s="8" t="s">
        <v>48</v>
      </c>
      <c r="D4" s="8" t="s">
        <v>49</v>
      </c>
      <c r="E4" s="7"/>
      <c r="F4" s="8" t="s">
        <v>38</v>
      </c>
      <c r="G4" s="7"/>
      <c r="H4" s="7"/>
      <c r="I4" s="10" t="s">
        <v>10</v>
      </c>
      <c r="J4" s="7"/>
      <c r="K4" s="8"/>
    </row>
    <row r="5" spans="1:11" s="1" customFormat="1" x14ac:dyDescent="0.3">
      <c r="A5" s="9" t="s">
        <v>50</v>
      </c>
      <c r="B5" s="7" t="s">
        <v>51</v>
      </c>
      <c r="C5" s="7"/>
      <c r="D5" s="7"/>
      <c r="E5" s="7"/>
      <c r="F5" s="7"/>
      <c r="G5" s="7"/>
      <c r="H5" s="7"/>
      <c r="I5" s="7"/>
      <c r="J5" s="8" t="s">
        <v>52</v>
      </c>
      <c r="K5" s="8"/>
    </row>
    <row r="6" spans="1:11" s="1" customFormat="1" x14ac:dyDescent="0.3">
      <c r="A6" s="9" t="s">
        <v>53</v>
      </c>
      <c r="B6" s="6" t="s">
        <v>54</v>
      </c>
      <c r="C6" s="8" t="s">
        <v>55</v>
      </c>
      <c r="D6" s="8"/>
      <c r="E6" s="8"/>
      <c r="F6" s="8" t="s">
        <v>39</v>
      </c>
      <c r="G6" s="8"/>
      <c r="H6" s="8"/>
      <c r="I6" s="8" t="s">
        <v>10</v>
      </c>
      <c r="J6" s="8"/>
      <c r="K6" s="8"/>
    </row>
    <row r="7" spans="1:11" s="1" customFormat="1" x14ac:dyDescent="0.3">
      <c r="A7" s="9" t="s">
        <v>56</v>
      </c>
      <c r="B7" s="6" t="s">
        <v>57</v>
      </c>
      <c r="C7" s="8" t="s">
        <v>58</v>
      </c>
      <c r="D7" s="8"/>
      <c r="E7" s="8"/>
      <c r="F7" s="8"/>
      <c r="G7" s="8"/>
      <c r="H7" s="8"/>
      <c r="I7" s="8" t="s">
        <v>10</v>
      </c>
      <c r="J7" s="8"/>
      <c r="K7" s="8"/>
    </row>
    <row r="8" spans="1:11" s="1" customFormat="1" x14ac:dyDescent="0.3">
      <c r="A8" s="9" t="s">
        <v>3</v>
      </c>
      <c r="B8" s="6" t="s">
        <v>204</v>
      </c>
      <c r="C8" s="8" t="s">
        <v>58</v>
      </c>
      <c r="D8" s="8" t="s">
        <v>205</v>
      </c>
      <c r="E8" s="8"/>
      <c r="F8" s="8"/>
      <c r="G8" s="8"/>
      <c r="H8" s="8"/>
      <c r="I8" s="8" t="s">
        <v>10</v>
      </c>
      <c r="J8" s="8"/>
      <c r="K8" s="8"/>
    </row>
    <row r="9" spans="1:11" s="1" customFormat="1" x14ac:dyDescent="0.3">
      <c r="A9" s="9" t="s">
        <v>50</v>
      </c>
      <c r="B9" s="6" t="s">
        <v>177</v>
      </c>
      <c r="C9" s="8"/>
      <c r="D9" s="8"/>
      <c r="E9" s="8"/>
      <c r="F9" s="8"/>
      <c r="G9" s="8"/>
      <c r="H9" s="8"/>
      <c r="I9" s="8"/>
      <c r="J9" s="8" t="s">
        <v>206</v>
      </c>
      <c r="K9" s="8"/>
    </row>
    <row r="10" spans="1:11" s="1" customFormat="1" x14ac:dyDescent="0.3">
      <c r="A10" s="9" t="s">
        <v>6</v>
      </c>
      <c r="B10" s="6" t="s">
        <v>207</v>
      </c>
      <c r="C10" s="8" t="s">
        <v>297</v>
      </c>
      <c r="D10" s="8"/>
      <c r="E10" s="8"/>
      <c r="F10" s="8"/>
      <c r="G10" s="8"/>
      <c r="H10" s="8"/>
      <c r="I10" s="8" t="s">
        <v>10</v>
      </c>
      <c r="J10" s="8"/>
      <c r="K10" s="8"/>
    </row>
    <row r="11" spans="1:11" x14ac:dyDescent="0.3">
      <c r="A11" s="12" t="s">
        <v>248</v>
      </c>
      <c r="B11" s="7" t="s">
        <v>262</v>
      </c>
      <c r="C11" s="10" t="s">
        <v>239</v>
      </c>
    </row>
    <row r="12" spans="1:11" x14ac:dyDescent="0.3">
      <c r="A12" s="12" t="s">
        <v>35</v>
      </c>
      <c r="B12" s="7" t="s">
        <v>238</v>
      </c>
      <c r="C12" s="10" t="s">
        <v>23</v>
      </c>
      <c r="D12" s="10" t="s">
        <v>263</v>
      </c>
    </row>
    <row r="13" spans="1:11" s="4" customFormat="1" x14ac:dyDescent="0.3">
      <c r="A13" s="13" t="s">
        <v>27</v>
      </c>
      <c r="B13" s="14" t="s">
        <v>215</v>
      </c>
      <c r="C13" s="15" t="s">
        <v>31</v>
      </c>
      <c r="D13" s="15"/>
      <c r="E13" s="15" t="s">
        <v>28</v>
      </c>
      <c r="F13" s="15"/>
      <c r="G13" s="15"/>
      <c r="H13" s="15"/>
      <c r="I13" s="15"/>
      <c r="J13" s="15"/>
      <c r="K13" s="15"/>
    </row>
    <row r="14" spans="1:11" x14ac:dyDescent="0.3">
      <c r="A14" s="12" t="s">
        <v>29</v>
      </c>
      <c r="B14" s="7" t="s">
        <v>209</v>
      </c>
      <c r="C14" s="10" t="s">
        <v>31</v>
      </c>
      <c r="D14" s="10" t="s">
        <v>272</v>
      </c>
      <c r="K14" s="10" t="s">
        <v>231</v>
      </c>
    </row>
    <row r="15" spans="1:11" x14ac:dyDescent="0.3">
      <c r="A15" s="12" t="s">
        <v>26</v>
      </c>
      <c r="B15" s="7" t="s">
        <v>280</v>
      </c>
      <c r="C15" s="10" t="s">
        <v>237</v>
      </c>
      <c r="D15" s="10" t="s">
        <v>272</v>
      </c>
      <c r="I15" s="10" t="s">
        <v>10</v>
      </c>
    </row>
    <row r="16" spans="1:11" x14ac:dyDescent="0.3">
      <c r="A16" s="12" t="s">
        <v>50</v>
      </c>
      <c r="B16" s="7" t="str">
        <f>LEFT(B15,LEN(B15)-7)</f>
        <v>REDE-EMALHAR-SUPERFICIE</v>
      </c>
      <c r="J16" s="10" t="str">
        <f>"if(${pesca} = 'nao' or ${tipo-embarcacao} = 'semiindustrial',0, ${"&amp;B15&amp;"})"</f>
        <v>if(${pesca} = 'nao' or ${tipo-embarcacao} = 'semiindustrial',0, ${REDE-EMALHAR-SUPERFICIE-apagar})</v>
      </c>
    </row>
    <row r="17" spans="1:11" s="4" customFormat="1" x14ac:dyDescent="0.3">
      <c r="A17" s="13" t="s">
        <v>30</v>
      </c>
      <c r="B17" s="14"/>
      <c r="C17" s="15"/>
      <c r="D17" s="15"/>
      <c r="E17" s="15"/>
      <c r="F17" s="15"/>
      <c r="G17" s="15"/>
      <c r="H17" s="15"/>
      <c r="I17" s="15"/>
      <c r="J17" s="15"/>
      <c r="K17" s="15"/>
    </row>
    <row r="18" spans="1:11" s="4" customFormat="1" x14ac:dyDescent="0.3">
      <c r="A18" s="13" t="s">
        <v>27</v>
      </c>
      <c r="B18" s="14" t="s">
        <v>216</v>
      </c>
      <c r="C18" s="15" t="s">
        <v>208</v>
      </c>
      <c r="D18" s="15"/>
      <c r="E18" s="15" t="s">
        <v>28</v>
      </c>
      <c r="F18" s="15"/>
      <c r="G18" s="15"/>
      <c r="H18" s="15"/>
      <c r="I18" s="15"/>
      <c r="J18" s="15"/>
      <c r="K18" s="15"/>
    </row>
    <row r="19" spans="1:11" x14ac:dyDescent="0.3">
      <c r="A19" s="12" t="s">
        <v>29</v>
      </c>
      <c r="B19" s="7" t="s">
        <v>210</v>
      </c>
      <c r="C19" s="10" t="s">
        <v>208</v>
      </c>
      <c r="D19" s="10" t="s">
        <v>272</v>
      </c>
      <c r="K19" s="10" t="s">
        <v>232</v>
      </c>
    </row>
    <row r="20" spans="1:11" x14ac:dyDescent="0.3">
      <c r="A20" s="12" t="s">
        <v>26</v>
      </c>
      <c r="B20" s="7" t="s">
        <v>281</v>
      </c>
      <c r="C20" s="10" t="s">
        <v>229</v>
      </c>
      <c r="D20" s="10" t="s">
        <v>272</v>
      </c>
      <c r="I20" s="10" t="s">
        <v>10</v>
      </c>
    </row>
    <row r="21" spans="1:11" x14ac:dyDescent="0.3">
      <c r="A21" s="12" t="s">
        <v>50</v>
      </c>
      <c r="B21" s="7" t="str">
        <f>LEFT(B20,LEN(B20)-7)</f>
        <v>REDE-BRISA</v>
      </c>
      <c r="J21" s="10" t="str">
        <f>"if(${pesca} = 'nao' or ${tipo-embarcacao} = 'semiindustrial',0, ${"&amp;B20&amp;"})"</f>
        <v>if(${pesca} = 'nao' or ${tipo-embarcacao} = 'semiindustrial',0, ${REDE-BRISA-apagar})</v>
      </c>
    </row>
    <row r="22" spans="1:11" s="4" customFormat="1" x14ac:dyDescent="0.3">
      <c r="A22" s="13" t="s">
        <v>30</v>
      </c>
      <c r="B22" s="14"/>
      <c r="C22" s="15"/>
      <c r="D22" s="15"/>
      <c r="E22" s="15"/>
      <c r="F22" s="15"/>
      <c r="G22" s="15"/>
      <c r="H22" s="15"/>
      <c r="I22" s="15"/>
      <c r="J22" s="15"/>
      <c r="K22" s="15"/>
    </row>
    <row r="23" spans="1:11" x14ac:dyDescent="0.3">
      <c r="A23" s="12" t="s">
        <v>50</v>
      </c>
      <c r="B23" s="7" t="s">
        <v>223</v>
      </c>
      <c r="J23" s="10" t="s">
        <v>279</v>
      </c>
    </row>
    <row r="24" spans="1:11" s="4" customFormat="1" x14ac:dyDescent="0.3">
      <c r="A24" s="13" t="s">
        <v>27</v>
      </c>
      <c r="B24" s="14" t="s">
        <v>217</v>
      </c>
      <c r="C24" s="15" t="s">
        <v>224</v>
      </c>
      <c r="D24" s="15"/>
      <c r="E24" s="15" t="s">
        <v>28</v>
      </c>
      <c r="F24" s="15"/>
      <c r="G24" s="15"/>
      <c r="H24" s="15"/>
      <c r="I24" s="15"/>
      <c r="J24" s="15"/>
      <c r="K24" s="15"/>
    </row>
    <row r="25" spans="1:11" x14ac:dyDescent="0.3">
      <c r="A25" s="12" t="s">
        <v>29</v>
      </c>
      <c r="B25" s="7" t="s">
        <v>211</v>
      </c>
      <c r="C25" s="10" t="s">
        <v>224</v>
      </c>
      <c r="D25" s="10" t="s">
        <v>272</v>
      </c>
      <c r="K25" s="10" t="s">
        <v>233</v>
      </c>
    </row>
    <row r="26" spans="1:11" x14ac:dyDescent="0.3">
      <c r="A26" s="12" t="s">
        <v>26</v>
      </c>
      <c r="B26" s="7" t="s">
        <v>282</v>
      </c>
      <c r="C26" s="10" t="s">
        <v>225</v>
      </c>
      <c r="D26" s="10" t="s">
        <v>272</v>
      </c>
      <c r="I26" s="10" t="s">
        <v>10</v>
      </c>
    </row>
    <row r="27" spans="1:11" x14ac:dyDescent="0.3">
      <c r="A27" s="12" t="s">
        <v>50</v>
      </c>
      <c r="B27" s="7" t="str">
        <f>LEFT(B26,LEN(B26)-7)</f>
        <v>REDE-EMALHAR-DEMERSAL</v>
      </c>
      <c r="J27" s="10" t="str">
        <f>"if(${pesca} = 'nao' or ${tipo-embarcacao} = 'semiindustrial',0, ${"&amp;B26&amp;"})"</f>
        <v>if(${pesca} = 'nao' or ${tipo-embarcacao} = 'semiindustrial',0, ${REDE-EMALHAR-DEMERSAL-apagar})</v>
      </c>
    </row>
    <row r="28" spans="1:11" s="4" customFormat="1" x14ac:dyDescent="0.3">
      <c r="A28" s="13" t="s">
        <v>30</v>
      </c>
      <c r="B28" s="14"/>
      <c r="C28" s="15"/>
      <c r="D28" s="15"/>
      <c r="E28" s="15"/>
      <c r="F28" s="15"/>
      <c r="G28" s="15"/>
      <c r="H28" s="15"/>
      <c r="I28" s="15"/>
      <c r="J28" s="15"/>
      <c r="K28" s="15"/>
    </row>
    <row r="29" spans="1:11" s="4" customFormat="1" x14ac:dyDescent="0.3">
      <c r="A29" s="13" t="s">
        <v>27</v>
      </c>
      <c r="B29" s="14" t="s">
        <v>218</v>
      </c>
      <c r="C29" s="15" t="s">
        <v>221</v>
      </c>
      <c r="D29" s="15"/>
      <c r="E29" s="15" t="s">
        <v>28</v>
      </c>
      <c r="F29" s="15"/>
      <c r="G29" s="15"/>
      <c r="H29" s="15"/>
      <c r="I29" s="15"/>
      <c r="J29" s="15"/>
      <c r="K29" s="15"/>
    </row>
    <row r="30" spans="1:11" x14ac:dyDescent="0.3">
      <c r="A30" s="12" t="s">
        <v>29</v>
      </c>
      <c r="B30" s="7" t="s">
        <v>214</v>
      </c>
      <c r="C30" s="10" t="s">
        <v>221</v>
      </c>
      <c r="D30" s="10" t="s">
        <v>271</v>
      </c>
      <c r="K30" s="10" t="s">
        <v>234</v>
      </c>
    </row>
    <row r="31" spans="1:11" x14ac:dyDescent="0.3">
      <c r="A31" s="12" t="s">
        <v>26</v>
      </c>
      <c r="B31" s="7" t="s">
        <v>226</v>
      </c>
      <c r="C31" s="10" t="s">
        <v>228</v>
      </c>
      <c r="D31" s="10" t="s">
        <v>271</v>
      </c>
      <c r="I31" s="10" t="s">
        <v>10</v>
      </c>
    </row>
    <row r="32" spans="1:11" x14ac:dyDescent="0.3">
      <c r="A32" s="12" t="s">
        <v>50</v>
      </c>
      <c r="B32" s="7" t="s">
        <v>283</v>
      </c>
      <c r="J32" s="10" t="s">
        <v>227</v>
      </c>
    </row>
    <row r="33" spans="1:11" x14ac:dyDescent="0.3">
      <c r="A33" s="12" t="s">
        <v>50</v>
      </c>
      <c r="B33" s="7" t="str">
        <f>LEFT(B32,LEN(B32)-7)</f>
        <v>VOADOR-PANHA</v>
      </c>
      <c r="J33" s="10" t="str">
        <f>"if(${pesca} = 'nao' or ${tipo-embarcacao} = 'semiindustrial',0, ${"&amp;B32&amp;"})"</f>
        <v>if(${pesca} = 'nao' or ${tipo-embarcacao} = 'semiindustrial',0, ${VOADOR-PANHA-apagar})</v>
      </c>
    </row>
    <row r="34" spans="1:11" s="4" customFormat="1" x14ac:dyDescent="0.3">
      <c r="A34" s="13" t="s">
        <v>30</v>
      </c>
      <c r="B34" s="14"/>
      <c r="C34" s="15"/>
      <c r="D34" s="15"/>
      <c r="E34" s="15"/>
      <c r="F34" s="15"/>
      <c r="G34" s="15"/>
      <c r="H34" s="15"/>
      <c r="I34" s="15"/>
      <c r="J34" s="15"/>
      <c r="K34" s="15"/>
    </row>
    <row r="35" spans="1:11" s="4" customFormat="1" x14ac:dyDescent="0.3">
      <c r="A35" s="13" t="s">
        <v>27</v>
      </c>
      <c r="B35" s="14" t="s">
        <v>219</v>
      </c>
      <c r="C35" s="15" t="s">
        <v>32</v>
      </c>
      <c r="D35" s="15"/>
      <c r="E35" s="15" t="s">
        <v>28</v>
      </c>
      <c r="F35" s="15"/>
      <c r="G35" s="15"/>
      <c r="H35" s="15"/>
      <c r="I35" s="15"/>
      <c r="J35" s="15"/>
      <c r="K35" s="15"/>
    </row>
    <row r="36" spans="1:11" x14ac:dyDescent="0.3">
      <c r="A36" s="12" t="s">
        <v>29</v>
      </c>
      <c r="B36" s="7" t="s">
        <v>212</v>
      </c>
      <c r="C36" s="10" t="s">
        <v>32</v>
      </c>
      <c r="D36" s="10" t="s">
        <v>272</v>
      </c>
      <c r="K36" s="10" t="s">
        <v>235</v>
      </c>
    </row>
    <row r="37" spans="1:11" x14ac:dyDescent="0.3">
      <c r="A37" s="12" t="s">
        <v>26</v>
      </c>
      <c r="B37" s="7" t="s">
        <v>289</v>
      </c>
      <c r="C37" s="10" t="s">
        <v>230</v>
      </c>
      <c r="D37" s="10" t="s">
        <v>272</v>
      </c>
      <c r="I37" s="10" t="s">
        <v>10</v>
      </c>
    </row>
    <row r="38" spans="1:11" x14ac:dyDescent="0.3">
      <c r="A38" s="12" t="s">
        <v>50</v>
      </c>
      <c r="B38" s="7" t="str">
        <f>LEFT(B37,LEN(B37)-7)</f>
        <v>SUBMARINO</v>
      </c>
      <c r="J38" s="10" t="str">
        <f>"if(${pesca} = 'nao' or ${tipo-embarcacao} = 'semiindustrial',0, ${"&amp;B37&amp;"})"</f>
        <v>if(${pesca} = 'nao' or ${tipo-embarcacao} = 'semiindustrial',0, ${SUBMARINO-apagar})</v>
      </c>
    </row>
    <row r="39" spans="1:11" s="4" customFormat="1" x14ac:dyDescent="0.3">
      <c r="A39" s="13" t="s">
        <v>30</v>
      </c>
      <c r="B39" s="14"/>
      <c r="C39" s="15"/>
      <c r="D39" s="15"/>
      <c r="E39" s="15"/>
      <c r="F39" s="15"/>
      <c r="G39" s="15"/>
      <c r="H39" s="15"/>
      <c r="I39" s="15"/>
      <c r="J39" s="15"/>
      <c r="K39" s="15"/>
    </row>
    <row r="40" spans="1:11" s="4" customFormat="1" x14ac:dyDescent="0.3">
      <c r="A40" s="13" t="s">
        <v>27</v>
      </c>
      <c r="B40" s="14" t="s">
        <v>220</v>
      </c>
      <c r="C40" s="15" t="s">
        <v>256</v>
      </c>
      <c r="D40" s="15"/>
      <c r="E40" s="15" t="s">
        <v>28</v>
      </c>
      <c r="F40" s="15"/>
      <c r="G40" s="15"/>
      <c r="H40" s="15"/>
      <c r="I40" s="15"/>
      <c r="J40" s="15"/>
      <c r="K40" s="15"/>
    </row>
    <row r="41" spans="1:11" x14ac:dyDescent="0.3">
      <c r="A41" s="12" t="s">
        <v>29</v>
      </c>
      <c r="B41" s="7" t="s">
        <v>213</v>
      </c>
      <c r="C41" s="10" t="s">
        <v>256</v>
      </c>
      <c r="D41" s="10" t="s">
        <v>273</v>
      </c>
      <c r="K41" s="10" t="s">
        <v>258</v>
      </c>
    </row>
    <row r="42" spans="1:11" x14ac:dyDescent="0.3">
      <c r="A42" s="12" t="s">
        <v>26</v>
      </c>
      <c r="B42" s="7" t="s">
        <v>260</v>
      </c>
      <c r="C42" s="10" t="s">
        <v>257</v>
      </c>
      <c r="D42" s="10" t="s">
        <v>273</v>
      </c>
      <c r="I42" s="10" t="s">
        <v>10</v>
      </c>
    </row>
    <row r="43" spans="1:11" x14ac:dyDescent="0.3">
      <c r="A43" s="12" t="s">
        <v>50</v>
      </c>
      <c r="B43" s="7" t="s">
        <v>284</v>
      </c>
      <c r="J43" s="10" t="s">
        <v>259</v>
      </c>
    </row>
    <row r="44" spans="1:11" x14ac:dyDescent="0.3">
      <c r="A44" s="12" t="s">
        <v>50</v>
      </c>
      <c r="B44" s="7" t="str">
        <f>LEFT(B43,LEN(B43)-7)</f>
        <v>PESCA-DE-SANTOLA</v>
      </c>
      <c r="J44" s="10" t="str">
        <f>"if(${pesca} = 'nao' or ${tipo-embarcacao} = 'semiindustrial',0, ${"&amp;B43&amp;"})"</f>
        <v>if(${pesca} = 'nao' or ${tipo-embarcacao} = 'semiindustrial',0, ${PESCA-DE-SANTOLA-apagar})</v>
      </c>
    </row>
    <row r="45" spans="1:11" s="4" customFormat="1" x14ac:dyDescent="0.3">
      <c r="A45" s="13" t="s">
        <v>30</v>
      </c>
      <c r="B45" s="14"/>
      <c r="C45" s="15"/>
      <c r="D45" s="15"/>
      <c r="E45" s="15"/>
      <c r="F45" s="15"/>
      <c r="G45" s="15"/>
      <c r="H45" s="15"/>
      <c r="I45" s="15"/>
      <c r="J45" s="15"/>
      <c r="K45" s="15"/>
    </row>
    <row r="46" spans="1:11" s="4" customFormat="1" x14ac:dyDescent="0.3">
      <c r="A46" s="13" t="s">
        <v>27</v>
      </c>
      <c r="B46" s="14" t="s">
        <v>255</v>
      </c>
      <c r="C46" s="15" t="s">
        <v>222</v>
      </c>
      <c r="D46" s="15"/>
      <c r="E46" s="15" t="s">
        <v>28</v>
      </c>
      <c r="F46" s="15"/>
      <c r="G46" s="15"/>
      <c r="H46" s="15"/>
      <c r="I46" s="15"/>
      <c r="J46" s="15"/>
      <c r="K46" s="15"/>
    </row>
    <row r="47" spans="1:11" x14ac:dyDescent="0.3">
      <c r="A47" s="12" t="s">
        <v>29</v>
      </c>
      <c r="B47" s="7" t="s">
        <v>213</v>
      </c>
      <c r="C47" s="10" t="s">
        <v>222</v>
      </c>
      <c r="D47" s="10" t="s">
        <v>272</v>
      </c>
      <c r="K47" s="10" t="s">
        <v>236</v>
      </c>
    </row>
    <row r="48" spans="1:11" x14ac:dyDescent="0.3">
      <c r="A48" s="12" t="s">
        <v>26</v>
      </c>
      <c r="B48" s="7" t="s">
        <v>285</v>
      </c>
      <c r="C48" s="10" t="s">
        <v>240</v>
      </c>
      <c r="D48" s="10" t="s">
        <v>272</v>
      </c>
      <c r="I48" s="10" t="s">
        <v>10</v>
      </c>
    </row>
    <row r="49" spans="1:11" x14ac:dyDescent="0.3">
      <c r="A49" s="12" t="s">
        <v>50</v>
      </c>
      <c r="B49" s="7" t="str">
        <f>LEFT(B48,LEN(B48)-7)</f>
        <v>FIO-E-ANZOL-MOTORIZADA</v>
      </c>
      <c r="J49" s="10" t="str">
        <f>"if(${pesca} = 'nao' or ${tipo-embarcacao} = 'semiindustrial',0, ${"&amp;B48&amp;"})"</f>
        <v>if(${pesca} = 'nao' or ${tipo-embarcacao} = 'semiindustrial',0, ${FIO-E-ANZOL-MOTORIZADA-apagar})</v>
      </c>
    </row>
    <row r="50" spans="1:11" x14ac:dyDescent="0.3">
      <c r="A50" s="12" t="s">
        <v>26</v>
      </c>
      <c r="B50" s="7" t="s">
        <v>286</v>
      </c>
      <c r="C50" s="10" t="s">
        <v>241</v>
      </c>
      <c r="D50" s="10" t="s">
        <v>272</v>
      </c>
      <c r="I50" s="10" t="s">
        <v>10</v>
      </c>
    </row>
    <row r="51" spans="1:11" x14ac:dyDescent="0.3">
      <c r="A51" s="12" t="s">
        <v>50</v>
      </c>
      <c r="B51" s="7" t="str">
        <f>LEFT(B50,LEN(B50)-7)</f>
        <v>FIO-E-ANZOL-NAO-MOTORIZADA</v>
      </c>
      <c r="J51" s="10" t="str">
        <f>"if(${pesca} = 'nao' or ${tipo-embarcacao} = 'semiindustrial',0, ${"&amp;B50&amp;"})"</f>
        <v>if(${pesca} = 'nao' or ${tipo-embarcacao} = 'semiindustrial',0, ${FIO-E-ANZOL-NAO-MOTORIZADA-apagar})</v>
      </c>
    </row>
    <row r="52" spans="1:11" s="4" customFormat="1" x14ac:dyDescent="0.3">
      <c r="A52" s="13" t="s">
        <v>30</v>
      </c>
      <c r="B52" s="14"/>
      <c r="C52" s="15"/>
      <c r="D52" s="15"/>
      <c r="E52" s="15"/>
      <c r="F52" s="15"/>
      <c r="G52" s="15"/>
      <c r="H52" s="15"/>
      <c r="I52" s="15"/>
      <c r="J52" s="15"/>
      <c r="K52" s="15"/>
    </row>
    <row r="53" spans="1:11" s="4" customFormat="1" x14ac:dyDescent="0.3">
      <c r="A53" s="13" t="s">
        <v>27</v>
      </c>
      <c r="B53" s="14" t="s">
        <v>275</v>
      </c>
      <c r="C53" s="15" t="s">
        <v>274</v>
      </c>
      <c r="D53" s="15"/>
      <c r="E53" s="15" t="s">
        <v>28</v>
      </c>
      <c r="F53" s="15"/>
      <c r="G53" s="15"/>
      <c r="H53" s="15"/>
      <c r="I53" s="15"/>
      <c r="J53" s="15"/>
      <c r="K53" s="15"/>
    </row>
    <row r="54" spans="1:11" x14ac:dyDescent="0.3">
      <c r="A54" s="12" t="s">
        <v>29</v>
      </c>
      <c r="B54" s="7" t="s">
        <v>213</v>
      </c>
      <c r="C54" s="10" t="s">
        <v>274</v>
      </c>
      <c r="D54" s="10" t="s">
        <v>276</v>
      </c>
    </row>
    <row r="55" spans="1:11" x14ac:dyDescent="0.3">
      <c r="A55" s="12" t="s">
        <v>26</v>
      </c>
      <c r="B55" s="7" t="s">
        <v>287</v>
      </c>
      <c r="C55" s="10" t="s">
        <v>277</v>
      </c>
      <c r="D55" s="10" t="s">
        <v>276</v>
      </c>
      <c r="I55" s="10" t="s">
        <v>10</v>
      </c>
    </row>
    <row r="56" spans="1:11" x14ac:dyDescent="0.3">
      <c r="A56" s="12" t="s">
        <v>50</v>
      </c>
      <c r="B56" s="7" t="str">
        <f>LEFT(B55,LEN(B55)-7)</f>
        <v>CARIOCO</v>
      </c>
      <c r="J56" s="10" t="str">
        <f>"if(${pesca} = 'nao' or ${tipo-embarcacao} = 'artesanal',0, ${"&amp;B55&amp;"})"</f>
        <v>if(${pesca} = 'nao' or ${tipo-embarcacao} = 'artesanal',0, ${CARIOCO-apagar})</v>
      </c>
    </row>
    <row r="57" spans="1:11" x14ac:dyDescent="0.3">
      <c r="A57" s="12" t="s">
        <v>26</v>
      </c>
      <c r="B57" s="7" t="s">
        <v>288</v>
      </c>
      <c r="C57" s="10" t="s">
        <v>278</v>
      </c>
      <c r="D57" s="10" t="s">
        <v>276</v>
      </c>
      <c r="I57" s="10" t="s">
        <v>10</v>
      </c>
    </row>
    <row r="58" spans="1:11" x14ac:dyDescent="0.3">
      <c r="A58" s="12" t="s">
        <v>50</v>
      </c>
      <c r="B58" s="7" t="str">
        <f>LEFT(B57,LEN(B57)-7)</f>
        <v>TRAINERA</v>
      </c>
      <c r="J58" s="10" t="str">
        <f>"if(${pesca} = 'nao' or ${tipo-embarcacao} = 'artesanal',0, ${"&amp;B57&amp;"})"</f>
        <v>if(${pesca} = 'nao' or ${tipo-embarcacao} = 'artesanal',0, ${TRAINERA-apagar})</v>
      </c>
    </row>
    <row r="59" spans="1:11" s="4" customFormat="1" x14ac:dyDescent="0.3">
      <c r="A59" s="13" t="s">
        <v>30</v>
      </c>
      <c r="B59" s="14"/>
      <c r="C59" s="15"/>
      <c r="D59" s="15"/>
      <c r="E59" s="15"/>
      <c r="F59" s="15"/>
      <c r="G59" s="15"/>
      <c r="H59" s="15"/>
      <c r="I59" s="15"/>
      <c r="J59" s="15"/>
      <c r="K59" s="15"/>
    </row>
    <row r="60" spans="1:11" x14ac:dyDescent="0.3">
      <c r="A60" s="12" t="s">
        <v>24</v>
      </c>
      <c r="B60" s="7" t="s">
        <v>24</v>
      </c>
      <c r="C60" s="10" t="s">
        <v>25</v>
      </c>
    </row>
  </sheetData>
  <autoFilter ref="A1:K12" xr:uid="{0364B407-2C7B-4AF1-AB8B-74C450362D93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7"/>
  <sheetViews>
    <sheetView workbookViewId="0">
      <pane xSplit="1" ySplit="1" topLeftCell="B37" activePane="bottomRight" state="frozen"/>
      <selection pane="topRight" activeCell="C1" sqref="C1"/>
      <selection pane="bottomLeft" activeCell="A12" sqref="A12"/>
      <selection pane="bottomRight" activeCell="D55" sqref="D55"/>
    </sheetView>
  </sheetViews>
  <sheetFormatPr defaultRowHeight="14.4" x14ac:dyDescent="0.3"/>
  <cols>
    <col min="1" max="1" width="22.109375" bestFit="1" customWidth="1"/>
    <col min="2" max="2" width="27.5546875" bestFit="1" customWidth="1"/>
    <col min="3" max="3" width="34" bestFit="1" customWidth="1"/>
    <col min="4" max="4" width="11.88671875" bestFit="1" customWidth="1"/>
  </cols>
  <sheetData>
    <row r="1" spans="1:4" x14ac:dyDescent="0.3">
      <c r="A1" t="s">
        <v>2</v>
      </c>
      <c r="B1" t="s">
        <v>1</v>
      </c>
      <c r="C1" t="s">
        <v>16</v>
      </c>
      <c r="D1" t="s">
        <v>254</v>
      </c>
    </row>
    <row r="2" spans="1:4" x14ac:dyDescent="0.3">
      <c r="A2" t="s">
        <v>265</v>
      </c>
      <c r="B2" t="s">
        <v>267</v>
      </c>
      <c r="C2" t="s">
        <v>268</v>
      </c>
    </row>
    <row r="3" spans="1:4" s="2" customFormat="1" ht="15" thickBot="1" x14ac:dyDescent="0.35">
      <c r="A3" s="2" t="s">
        <v>265</v>
      </c>
      <c r="B3" s="2" t="s">
        <v>269</v>
      </c>
      <c r="C3" s="2" t="s">
        <v>270</v>
      </c>
    </row>
    <row r="4" spans="1:4" x14ac:dyDescent="0.3">
      <c r="A4" t="s">
        <v>249</v>
      </c>
      <c r="B4" t="s">
        <v>250</v>
      </c>
      <c r="C4" t="s">
        <v>252</v>
      </c>
    </row>
    <row r="5" spans="1:4" ht="15" thickBot="1" x14ac:dyDescent="0.35">
      <c r="A5" s="2" t="s">
        <v>249</v>
      </c>
      <c r="B5" s="2" t="s">
        <v>251</v>
      </c>
      <c r="C5" s="2" t="s">
        <v>253</v>
      </c>
      <c r="D5" s="2"/>
    </row>
    <row r="6" spans="1:4" x14ac:dyDescent="0.3">
      <c r="A6" t="s">
        <v>15</v>
      </c>
      <c r="B6" t="s">
        <v>17</v>
      </c>
      <c r="C6" t="s">
        <v>20</v>
      </c>
    </row>
    <row r="7" spans="1:4" x14ac:dyDescent="0.3">
      <c r="A7" t="s">
        <v>15</v>
      </c>
      <c r="B7" t="s">
        <v>19</v>
      </c>
      <c r="C7" t="s">
        <v>21</v>
      </c>
    </row>
    <row r="8" spans="1:4" ht="15" thickBot="1" x14ac:dyDescent="0.35">
      <c r="A8" s="2" t="s">
        <v>15</v>
      </c>
      <c r="B8" s="2" t="s">
        <v>18</v>
      </c>
      <c r="C8" s="2" t="s">
        <v>22</v>
      </c>
      <c r="D8" s="2"/>
    </row>
    <row r="9" spans="1:4" x14ac:dyDescent="0.3">
      <c r="A9" t="s">
        <v>44</v>
      </c>
      <c r="B9" t="s">
        <v>59</v>
      </c>
      <c r="C9" t="s">
        <v>60</v>
      </c>
    </row>
    <row r="10" spans="1:4" ht="15" thickBot="1" x14ac:dyDescent="0.35">
      <c r="A10" s="2" t="s">
        <v>44</v>
      </c>
      <c r="B10" s="2" t="s">
        <v>61</v>
      </c>
      <c r="C10" s="2" t="s">
        <v>62</v>
      </c>
      <c r="D10" s="2"/>
    </row>
    <row r="11" spans="1:4" x14ac:dyDescent="0.3">
      <c r="A11" t="s">
        <v>51</v>
      </c>
      <c r="B11" t="s">
        <v>63</v>
      </c>
      <c r="C11" t="s">
        <v>64</v>
      </c>
      <c r="D11" t="s">
        <v>61</v>
      </c>
    </row>
    <row r="12" spans="1:4" x14ac:dyDescent="0.3">
      <c r="A12" t="s">
        <v>51</v>
      </c>
      <c r="B12" t="s">
        <v>65</v>
      </c>
      <c r="C12" t="s">
        <v>66</v>
      </c>
      <c r="D12" t="s">
        <v>61</v>
      </c>
    </row>
    <row r="13" spans="1:4" x14ac:dyDescent="0.3">
      <c r="A13" t="s">
        <v>51</v>
      </c>
      <c r="B13" t="s">
        <v>67</v>
      </c>
      <c r="C13" t="s">
        <v>68</v>
      </c>
      <c r="D13" t="s">
        <v>61</v>
      </c>
    </row>
    <row r="14" spans="1:4" x14ac:dyDescent="0.3">
      <c r="A14" t="s">
        <v>51</v>
      </c>
      <c r="B14" t="s">
        <v>69</v>
      </c>
      <c r="C14" t="s">
        <v>70</v>
      </c>
      <c r="D14" t="s">
        <v>61</v>
      </c>
    </row>
    <row r="15" spans="1:4" x14ac:dyDescent="0.3">
      <c r="A15" t="s">
        <v>51</v>
      </c>
      <c r="B15" t="s">
        <v>71</v>
      </c>
      <c r="C15" t="s">
        <v>72</v>
      </c>
      <c r="D15" t="s">
        <v>61</v>
      </c>
    </row>
    <row r="16" spans="1:4" x14ac:dyDescent="0.3">
      <c r="A16" t="s">
        <v>51</v>
      </c>
      <c r="B16" t="s">
        <v>73</v>
      </c>
      <c r="C16" t="s">
        <v>74</v>
      </c>
      <c r="D16" t="s">
        <v>61</v>
      </c>
    </row>
    <row r="17" spans="1:4" ht="15" thickBot="1" x14ac:dyDescent="0.35">
      <c r="A17" s="2" t="s">
        <v>51</v>
      </c>
      <c r="B17" s="2" t="s">
        <v>75</v>
      </c>
      <c r="C17" s="2" t="s">
        <v>76</v>
      </c>
      <c r="D17" s="2" t="s">
        <v>59</v>
      </c>
    </row>
    <row r="18" spans="1:4" x14ac:dyDescent="0.3">
      <c r="A18" t="s">
        <v>54</v>
      </c>
      <c r="B18" t="s">
        <v>77</v>
      </c>
      <c r="C18" t="s">
        <v>78</v>
      </c>
      <c r="D18" t="s">
        <v>63</v>
      </c>
    </row>
    <row r="19" spans="1:4" x14ac:dyDescent="0.3">
      <c r="A19" t="s">
        <v>54</v>
      </c>
      <c r="B19" t="s">
        <v>79</v>
      </c>
      <c r="C19" t="s">
        <v>80</v>
      </c>
      <c r="D19" t="s">
        <v>63</v>
      </c>
    </row>
    <row r="20" spans="1:4" x14ac:dyDescent="0.3">
      <c r="A20" t="s">
        <v>54</v>
      </c>
      <c r="B20" t="s">
        <v>81</v>
      </c>
      <c r="C20" t="s">
        <v>82</v>
      </c>
      <c r="D20" t="s">
        <v>63</v>
      </c>
    </row>
    <row r="21" spans="1:4" x14ac:dyDescent="0.3">
      <c r="A21" t="s">
        <v>54</v>
      </c>
      <c r="B21" t="s">
        <v>83</v>
      </c>
      <c r="C21" t="s">
        <v>84</v>
      </c>
      <c r="D21" t="s">
        <v>63</v>
      </c>
    </row>
    <row r="22" spans="1:4" x14ac:dyDescent="0.3">
      <c r="A22" t="s">
        <v>54</v>
      </c>
      <c r="B22" t="s">
        <v>85</v>
      </c>
      <c r="C22" t="s">
        <v>86</v>
      </c>
      <c r="D22" t="s">
        <v>63</v>
      </c>
    </row>
    <row r="23" spans="1:4" x14ac:dyDescent="0.3">
      <c r="A23" t="s">
        <v>54</v>
      </c>
      <c r="B23" t="s">
        <v>87</v>
      </c>
      <c r="C23" t="s">
        <v>88</v>
      </c>
      <c r="D23" t="s">
        <v>63</v>
      </c>
    </row>
    <row r="24" spans="1:4" x14ac:dyDescent="0.3">
      <c r="A24" t="s">
        <v>54</v>
      </c>
      <c r="B24" t="s">
        <v>89</v>
      </c>
      <c r="C24" t="s">
        <v>90</v>
      </c>
      <c r="D24" t="s">
        <v>65</v>
      </c>
    </row>
    <row r="25" spans="1:4" x14ac:dyDescent="0.3">
      <c r="A25" t="s">
        <v>54</v>
      </c>
      <c r="B25" t="s">
        <v>91</v>
      </c>
      <c r="C25" t="s">
        <v>92</v>
      </c>
      <c r="D25" t="s">
        <v>65</v>
      </c>
    </row>
    <row r="26" spans="1:4" x14ac:dyDescent="0.3">
      <c r="A26" t="s">
        <v>54</v>
      </c>
      <c r="B26" t="s">
        <v>93</v>
      </c>
      <c r="C26" t="s">
        <v>94</v>
      </c>
      <c r="D26" t="s">
        <v>65</v>
      </c>
    </row>
    <row r="27" spans="1:4" x14ac:dyDescent="0.3">
      <c r="A27" t="s">
        <v>54</v>
      </c>
      <c r="B27" t="s">
        <v>290</v>
      </c>
      <c r="C27" t="s">
        <v>291</v>
      </c>
      <c r="D27" t="s">
        <v>65</v>
      </c>
    </row>
    <row r="28" spans="1:4" x14ac:dyDescent="0.3">
      <c r="A28" t="s">
        <v>54</v>
      </c>
      <c r="B28" t="s">
        <v>95</v>
      </c>
      <c r="C28" t="s">
        <v>96</v>
      </c>
      <c r="D28" t="s">
        <v>65</v>
      </c>
    </row>
    <row r="29" spans="1:4" x14ac:dyDescent="0.3">
      <c r="A29" t="s">
        <v>54</v>
      </c>
      <c r="B29" t="s">
        <v>97</v>
      </c>
      <c r="C29" t="s">
        <v>98</v>
      </c>
      <c r="D29" t="s">
        <v>65</v>
      </c>
    </row>
    <row r="30" spans="1:4" x14ac:dyDescent="0.3">
      <c r="A30" t="s">
        <v>54</v>
      </c>
      <c r="B30" t="s">
        <v>99</v>
      </c>
      <c r="C30" t="s">
        <v>100</v>
      </c>
      <c r="D30" t="s">
        <v>67</v>
      </c>
    </row>
    <row r="31" spans="1:4" x14ac:dyDescent="0.3">
      <c r="A31" t="s">
        <v>54</v>
      </c>
      <c r="B31" t="s">
        <v>101</v>
      </c>
      <c r="C31" t="s">
        <v>102</v>
      </c>
      <c r="D31" t="s">
        <v>67</v>
      </c>
    </row>
    <row r="32" spans="1:4" x14ac:dyDescent="0.3">
      <c r="A32" t="s">
        <v>54</v>
      </c>
      <c r="B32" t="s">
        <v>103</v>
      </c>
      <c r="C32" t="s">
        <v>104</v>
      </c>
      <c r="D32" t="s">
        <v>67</v>
      </c>
    </row>
    <row r="33" spans="1:4" x14ac:dyDescent="0.3">
      <c r="A33" t="s">
        <v>54</v>
      </c>
      <c r="B33" t="s">
        <v>105</v>
      </c>
      <c r="C33" t="s">
        <v>106</v>
      </c>
      <c r="D33" t="s">
        <v>67</v>
      </c>
    </row>
    <row r="34" spans="1:4" x14ac:dyDescent="0.3">
      <c r="A34" t="s">
        <v>54</v>
      </c>
      <c r="B34" t="s">
        <v>107</v>
      </c>
      <c r="C34" t="s">
        <v>108</v>
      </c>
      <c r="D34" t="s">
        <v>67</v>
      </c>
    </row>
    <row r="35" spans="1:4" x14ac:dyDescent="0.3">
      <c r="A35" t="s">
        <v>54</v>
      </c>
      <c r="B35" t="s">
        <v>109</v>
      </c>
      <c r="C35" t="s">
        <v>110</v>
      </c>
      <c r="D35" t="s">
        <v>67</v>
      </c>
    </row>
    <row r="36" spans="1:4" x14ac:dyDescent="0.3">
      <c r="A36" t="s">
        <v>54</v>
      </c>
      <c r="B36" t="s">
        <v>111</v>
      </c>
      <c r="C36" t="s">
        <v>112</v>
      </c>
      <c r="D36" t="s">
        <v>67</v>
      </c>
    </row>
    <row r="37" spans="1:4" x14ac:dyDescent="0.3">
      <c r="A37" t="s">
        <v>54</v>
      </c>
      <c r="B37" t="s">
        <v>113</v>
      </c>
      <c r="C37" t="s">
        <v>114</v>
      </c>
      <c r="D37" t="s">
        <v>67</v>
      </c>
    </row>
    <row r="38" spans="1:4" x14ac:dyDescent="0.3">
      <c r="A38" t="s">
        <v>54</v>
      </c>
      <c r="B38" t="s">
        <v>115</v>
      </c>
      <c r="C38" t="s">
        <v>116</v>
      </c>
      <c r="D38" t="s">
        <v>67</v>
      </c>
    </row>
    <row r="39" spans="1:4" x14ac:dyDescent="0.3">
      <c r="A39" t="s">
        <v>54</v>
      </c>
      <c r="B39" t="s">
        <v>117</v>
      </c>
      <c r="C39" t="s">
        <v>118</v>
      </c>
      <c r="D39" t="s">
        <v>69</v>
      </c>
    </row>
    <row r="40" spans="1:4" x14ac:dyDescent="0.3">
      <c r="A40" t="s">
        <v>54</v>
      </c>
      <c r="B40" t="s">
        <v>119</v>
      </c>
      <c r="C40" t="s">
        <v>120</v>
      </c>
      <c r="D40" t="s">
        <v>69</v>
      </c>
    </row>
    <row r="41" spans="1:4" x14ac:dyDescent="0.3">
      <c r="A41" t="s">
        <v>54</v>
      </c>
      <c r="B41" t="s">
        <v>121</v>
      </c>
      <c r="C41" t="s">
        <v>122</v>
      </c>
      <c r="D41" t="s">
        <v>69</v>
      </c>
    </row>
    <row r="42" spans="1:4" x14ac:dyDescent="0.3">
      <c r="A42" t="s">
        <v>54</v>
      </c>
      <c r="B42" t="s">
        <v>123</v>
      </c>
      <c r="C42" t="s">
        <v>124</v>
      </c>
      <c r="D42" t="s">
        <v>69</v>
      </c>
    </row>
    <row r="43" spans="1:4" x14ac:dyDescent="0.3">
      <c r="A43" t="s">
        <v>54</v>
      </c>
      <c r="B43" t="s">
        <v>125</v>
      </c>
      <c r="C43" t="s">
        <v>126</v>
      </c>
      <c r="D43" t="s">
        <v>69</v>
      </c>
    </row>
    <row r="44" spans="1:4" x14ac:dyDescent="0.3">
      <c r="A44" t="s">
        <v>54</v>
      </c>
      <c r="B44" t="s">
        <v>127</v>
      </c>
      <c r="C44" t="s">
        <v>128</v>
      </c>
      <c r="D44" t="s">
        <v>69</v>
      </c>
    </row>
    <row r="45" spans="1:4" x14ac:dyDescent="0.3">
      <c r="A45" t="s">
        <v>54</v>
      </c>
      <c r="B45" t="s">
        <v>129</v>
      </c>
      <c r="C45" t="s">
        <v>130</v>
      </c>
      <c r="D45" t="s">
        <v>69</v>
      </c>
    </row>
    <row r="46" spans="1:4" x14ac:dyDescent="0.3">
      <c r="A46" t="s">
        <v>54</v>
      </c>
      <c r="B46" t="s">
        <v>131</v>
      </c>
      <c r="C46" t="s">
        <v>132</v>
      </c>
      <c r="D46" t="s">
        <v>69</v>
      </c>
    </row>
    <row r="47" spans="1:4" x14ac:dyDescent="0.3">
      <c r="A47" t="s">
        <v>54</v>
      </c>
      <c r="B47" t="s">
        <v>133</v>
      </c>
      <c r="C47" t="s">
        <v>134</v>
      </c>
      <c r="D47" t="s">
        <v>69</v>
      </c>
    </row>
    <row r="48" spans="1:4" x14ac:dyDescent="0.3">
      <c r="A48" t="s">
        <v>54</v>
      </c>
      <c r="B48" t="s">
        <v>135</v>
      </c>
      <c r="C48" t="s">
        <v>136</v>
      </c>
      <c r="D48" t="s">
        <v>69</v>
      </c>
    </row>
    <row r="49" spans="1:4" x14ac:dyDescent="0.3">
      <c r="A49" t="s">
        <v>54</v>
      </c>
      <c r="B49" t="s">
        <v>137</v>
      </c>
      <c r="C49" t="s">
        <v>138</v>
      </c>
      <c r="D49" t="s">
        <v>71</v>
      </c>
    </row>
    <row r="50" spans="1:4" x14ac:dyDescent="0.3">
      <c r="A50" t="s">
        <v>54</v>
      </c>
      <c r="B50" t="s">
        <v>139</v>
      </c>
      <c r="C50" t="s">
        <v>140</v>
      </c>
      <c r="D50" t="s">
        <v>71</v>
      </c>
    </row>
    <row r="51" spans="1:4" x14ac:dyDescent="0.3">
      <c r="A51" t="s">
        <v>54</v>
      </c>
      <c r="B51" t="s">
        <v>141</v>
      </c>
      <c r="C51" t="s">
        <v>142</v>
      </c>
      <c r="D51" t="s">
        <v>71</v>
      </c>
    </row>
    <row r="52" spans="1:4" x14ac:dyDescent="0.3">
      <c r="A52" t="s">
        <v>54</v>
      </c>
      <c r="B52" t="s">
        <v>129</v>
      </c>
      <c r="C52" t="s">
        <v>130</v>
      </c>
      <c r="D52" t="s">
        <v>71</v>
      </c>
    </row>
    <row r="53" spans="1:4" x14ac:dyDescent="0.3">
      <c r="A53" t="s">
        <v>54</v>
      </c>
      <c r="B53" t="s">
        <v>143</v>
      </c>
      <c r="C53" t="s">
        <v>144</v>
      </c>
      <c r="D53" t="s">
        <v>71</v>
      </c>
    </row>
    <row r="54" spans="1:4" x14ac:dyDescent="0.3">
      <c r="A54" t="s">
        <v>54</v>
      </c>
      <c r="B54" t="s">
        <v>145</v>
      </c>
      <c r="C54" t="s">
        <v>146</v>
      </c>
      <c r="D54" t="s">
        <v>73</v>
      </c>
    </row>
    <row r="55" spans="1:4" x14ac:dyDescent="0.3">
      <c r="A55" t="s">
        <v>54</v>
      </c>
      <c r="B55" t="s">
        <v>12</v>
      </c>
      <c r="C55" t="s">
        <v>147</v>
      </c>
      <c r="D55" t="s">
        <v>75</v>
      </c>
    </row>
    <row r="56" spans="1:4" x14ac:dyDescent="0.3">
      <c r="A56" t="s">
        <v>54</v>
      </c>
      <c r="B56" t="s">
        <v>148</v>
      </c>
      <c r="C56" t="s">
        <v>149</v>
      </c>
      <c r="D56" t="s">
        <v>75</v>
      </c>
    </row>
    <row r="57" spans="1:4" x14ac:dyDescent="0.3">
      <c r="A57" t="s">
        <v>54</v>
      </c>
      <c r="B57" t="s">
        <v>13</v>
      </c>
      <c r="C57" t="s">
        <v>150</v>
      </c>
      <c r="D57" t="s">
        <v>75</v>
      </c>
    </row>
    <row r="58" spans="1:4" x14ac:dyDescent="0.3">
      <c r="A58" t="s">
        <v>54</v>
      </c>
      <c r="B58" t="s">
        <v>36</v>
      </c>
      <c r="C58" t="s">
        <v>122</v>
      </c>
      <c r="D58" t="s">
        <v>75</v>
      </c>
    </row>
    <row r="59" spans="1:4" x14ac:dyDescent="0.3">
      <c r="A59" t="s">
        <v>54</v>
      </c>
      <c r="B59" t="s">
        <v>151</v>
      </c>
      <c r="C59" t="s">
        <v>152</v>
      </c>
      <c r="D59" t="s">
        <v>75</v>
      </c>
    </row>
    <row r="60" spans="1:4" x14ac:dyDescent="0.3">
      <c r="A60" t="s">
        <v>54</v>
      </c>
      <c r="B60" t="s">
        <v>153</v>
      </c>
      <c r="C60" t="s">
        <v>154</v>
      </c>
      <c r="D60" t="s">
        <v>75</v>
      </c>
    </row>
    <row r="61" spans="1:4" x14ac:dyDescent="0.3">
      <c r="A61" t="s">
        <v>54</v>
      </c>
      <c r="B61" t="s">
        <v>155</v>
      </c>
      <c r="C61" t="s">
        <v>156</v>
      </c>
      <c r="D61" t="s">
        <v>75</v>
      </c>
    </row>
    <row r="62" spans="1:4" x14ac:dyDescent="0.3">
      <c r="A62" t="s">
        <v>54</v>
      </c>
      <c r="B62" t="s">
        <v>157</v>
      </c>
      <c r="C62" t="s">
        <v>158</v>
      </c>
      <c r="D62" t="s">
        <v>75</v>
      </c>
    </row>
    <row r="63" spans="1:4" x14ac:dyDescent="0.3">
      <c r="A63" t="s">
        <v>54</v>
      </c>
      <c r="B63" t="s">
        <v>159</v>
      </c>
      <c r="C63" t="s">
        <v>160</v>
      </c>
      <c r="D63" t="s">
        <v>75</v>
      </c>
    </row>
    <row r="64" spans="1:4" x14ac:dyDescent="0.3">
      <c r="A64" t="s">
        <v>54</v>
      </c>
      <c r="B64" t="s">
        <v>161</v>
      </c>
      <c r="C64" t="s">
        <v>162</v>
      </c>
      <c r="D64" t="s">
        <v>75</v>
      </c>
    </row>
    <row r="65" spans="1:4" x14ac:dyDescent="0.3">
      <c r="A65" t="s">
        <v>54</v>
      </c>
      <c r="B65" t="s">
        <v>163</v>
      </c>
      <c r="C65" t="s">
        <v>164</v>
      </c>
      <c r="D65" t="s">
        <v>75</v>
      </c>
    </row>
    <row r="66" spans="1:4" x14ac:dyDescent="0.3">
      <c r="A66" t="s">
        <v>54</v>
      </c>
      <c r="B66" t="s">
        <v>165</v>
      </c>
      <c r="C66" t="s">
        <v>166</v>
      </c>
      <c r="D66" t="s">
        <v>75</v>
      </c>
    </row>
    <row r="67" spans="1:4" x14ac:dyDescent="0.3">
      <c r="A67" t="s">
        <v>54</v>
      </c>
      <c r="B67" t="s">
        <v>167</v>
      </c>
      <c r="C67" t="s">
        <v>168</v>
      </c>
      <c r="D67" t="s">
        <v>75</v>
      </c>
    </row>
    <row r="68" spans="1:4" x14ac:dyDescent="0.3">
      <c r="A68" t="s">
        <v>54</v>
      </c>
      <c r="B68" t="s">
        <v>169</v>
      </c>
      <c r="C68" t="s">
        <v>170</v>
      </c>
      <c r="D68" t="s">
        <v>75</v>
      </c>
    </row>
    <row r="69" spans="1:4" x14ac:dyDescent="0.3">
      <c r="A69" t="s">
        <v>54</v>
      </c>
      <c r="B69" t="s">
        <v>171</v>
      </c>
      <c r="C69" t="s">
        <v>172</v>
      </c>
      <c r="D69" t="s">
        <v>75</v>
      </c>
    </row>
    <row r="70" spans="1:4" x14ac:dyDescent="0.3">
      <c r="A70" t="s">
        <v>54</v>
      </c>
      <c r="B70" t="s">
        <v>173</v>
      </c>
      <c r="C70" t="s">
        <v>174</v>
      </c>
      <c r="D70" t="s">
        <v>75</v>
      </c>
    </row>
    <row r="71" spans="1:4" s="16" customFormat="1" x14ac:dyDescent="0.3">
      <c r="A71" s="16" t="s">
        <v>54</v>
      </c>
      <c r="B71" s="16" t="s">
        <v>175</v>
      </c>
      <c r="C71" s="16" t="s">
        <v>176</v>
      </c>
      <c r="D71" s="16" t="s">
        <v>75</v>
      </c>
    </row>
    <row r="72" spans="1:4" x14ac:dyDescent="0.3">
      <c r="A72" t="s">
        <v>177</v>
      </c>
      <c r="B72" t="s">
        <v>178</v>
      </c>
      <c r="C72" t="s">
        <v>179</v>
      </c>
    </row>
    <row r="73" spans="1:4" x14ac:dyDescent="0.3">
      <c r="A73" t="s">
        <v>177</v>
      </c>
      <c r="B73" t="s">
        <v>180</v>
      </c>
      <c r="C73" t="s">
        <v>181</v>
      </c>
    </row>
    <row r="74" spans="1:4" x14ac:dyDescent="0.3">
      <c r="A74" t="s">
        <v>177</v>
      </c>
      <c r="B74" t="s">
        <v>292</v>
      </c>
      <c r="C74" t="s">
        <v>182</v>
      </c>
    </row>
    <row r="75" spans="1:4" x14ac:dyDescent="0.3">
      <c r="A75" t="s">
        <v>177</v>
      </c>
      <c r="B75" t="s">
        <v>293</v>
      </c>
      <c r="C75" t="s">
        <v>183</v>
      </c>
    </row>
    <row r="76" spans="1:4" x14ac:dyDescent="0.3">
      <c r="A76" t="s">
        <v>177</v>
      </c>
      <c r="B76" t="s">
        <v>184</v>
      </c>
      <c r="C76" t="s">
        <v>185</v>
      </c>
    </row>
    <row r="77" spans="1:4" x14ac:dyDescent="0.3">
      <c r="A77" t="s">
        <v>177</v>
      </c>
      <c r="B77" t="s">
        <v>186</v>
      </c>
      <c r="C77" t="s">
        <v>187</v>
      </c>
    </row>
    <row r="78" spans="1:4" x14ac:dyDescent="0.3">
      <c r="A78" t="s">
        <v>177</v>
      </c>
      <c r="B78" t="s">
        <v>188</v>
      </c>
      <c r="C78" t="s">
        <v>189</v>
      </c>
    </row>
    <row r="79" spans="1:4" x14ac:dyDescent="0.3">
      <c r="A79" t="s">
        <v>177</v>
      </c>
      <c r="B79" t="s">
        <v>190</v>
      </c>
      <c r="C79" t="s">
        <v>191</v>
      </c>
    </row>
    <row r="80" spans="1:4" x14ac:dyDescent="0.3">
      <c r="A80" t="s">
        <v>177</v>
      </c>
      <c r="B80" t="s">
        <v>192</v>
      </c>
      <c r="C80" t="s">
        <v>193</v>
      </c>
    </row>
    <row r="81" spans="1:3" x14ac:dyDescent="0.3">
      <c r="A81" t="s">
        <v>177</v>
      </c>
      <c r="B81" t="s">
        <v>194</v>
      </c>
      <c r="C81" t="s">
        <v>195</v>
      </c>
    </row>
    <row r="82" spans="1:3" x14ac:dyDescent="0.3">
      <c r="A82" t="s">
        <v>177</v>
      </c>
      <c r="B82" t="s">
        <v>196</v>
      </c>
      <c r="C82" t="s">
        <v>197</v>
      </c>
    </row>
    <row r="83" spans="1:3" x14ac:dyDescent="0.3">
      <c r="A83" t="s">
        <v>177</v>
      </c>
      <c r="B83" t="s">
        <v>296</v>
      </c>
      <c r="C83" t="s">
        <v>295</v>
      </c>
    </row>
    <row r="84" spans="1:3" x14ac:dyDescent="0.3">
      <c r="A84" t="s">
        <v>177</v>
      </c>
      <c r="B84" t="s">
        <v>198</v>
      </c>
      <c r="C84" t="s">
        <v>294</v>
      </c>
    </row>
    <row r="85" spans="1:3" x14ac:dyDescent="0.3">
      <c r="A85" t="s">
        <v>177</v>
      </c>
      <c r="B85" t="s">
        <v>199</v>
      </c>
      <c r="C85" t="s">
        <v>200</v>
      </c>
    </row>
    <row r="86" spans="1:3" x14ac:dyDescent="0.3">
      <c r="A86" t="s">
        <v>177</v>
      </c>
      <c r="B86" t="s">
        <v>201</v>
      </c>
      <c r="C86" t="s">
        <v>202</v>
      </c>
    </row>
    <row r="87" spans="1:3" x14ac:dyDescent="0.3">
      <c r="A87" t="s">
        <v>177</v>
      </c>
      <c r="B87" t="s">
        <v>14</v>
      </c>
      <c r="C87" t="s">
        <v>203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selection activeCell="A3" sqref="A3"/>
    </sheetView>
  </sheetViews>
  <sheetFormatPr defaultRowHeight="14.4" x14ac:dyDescent="0.3"/>
  <cols>
    <col min="1" max="1" width="27.6640625" bestFit="1" customWidth="1"/>
    <col min="2" max="2" width="20.109375" bestFit="1" customWidth="1"/>
    <col min="3" max="3" width="22.33203125" customWidth="1"/>
    <col min="4" max="4" width="40.44140625" bestFit="1" customWidth="1"/>
    <col min="5" max="5" width="14.33203125" bestFit="1" customWidth="1"/>
    <col min="6" max="6" width="6.109375" bestFit="1" customWidth="1"/>
  </cols>
  <sheetData>
    <row r="1" spans="1:6" x14ac:dyDescent="0.3">
      <c r="A1" t="s">
        <v>8</v>
      </c>
      <c r="B1" t="s">
        <v>9</v>
      </c>
      <c r="C1" t="s">
        <v>246</v>
      </c>
      <c r="D1" t="s">
        <v>33</v>
      </c>
      <c r="E1" t="s">
        <v>11</v>
      </c>
      <c r="F1" t="s">
        <v>244</v>
      </c>
    </row>
    <row r="2" spans="1:6" x14ac:dyDescent="0.3">
      <c r="A2" t="s">
        <v>261</v>
      </c>
      <c r="B2" t="s">
        <v>242</v>
      </c>
      <c r="C2" s="5" t="s">
        <v>10</v>
      </c>
      <c r="D2" s="5" t="s">
        <v>247</v>
      </c>
      <c r="E2" s="3" t="s">
        <v>243</v>
      </c>
      <c r="F2" t="s">
        <v>245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survey</vt:lpstr>
      <vt:lpstr>choices</vt:lpstr>
      <vt:lpstr>settings</vt:lpstr>
      <vt:lpstr>survey!_FilterDatabase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Guillermo Prieto Porriños</cp:lastModifiedBy>
  <dcterms:created xsi:type="dcterms:W3CDTF">2018-06-27T08:48:30Z</dcterms:created>
  <dcterms:modified xsi:type="dcterms:W3CDTF">2024-11-18T19:08:42Z</dcterms:modified>
</cp:coreProperties>
</file>