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dcb46a42df1333/Projects_COMPLETED_TEMP/2021-2024_FISH4ACP/2026_FISHERIES_STATISTICS_STP/QUESTIONNAIRES/xls_forms/"/>
    </mc:Choice>
  </mc:AlternateContent>
  <xr:revisionPtr revIDLastSave="1" documentId="13_ncr:1_{2A69ACD0-26E4-4EBE-8093-F354B2E779BC}" xr6:coauthVersionLast="47" xr6:coauthVersionMax="47" xr10:uidLastSave="{AA003C9D-5964-4CF7-985D-152E4DEBF12B}"/>
  <bookViews>
    <workbookView xWindow="2160" yWindow="2160" windowWidth="17280" windowHeight="8880" activeTab="2" xr2:uid="{00000000-000D-0000-FFFF-FFFF00000000}"/>
  </bookViews>
  <sheets>
    <sheet name="survey" sheetId="4" r:id="rId1"/>
    <sheet name="choices" sheetId="2" r:id="rId2"/>
    <sheet name="settings" sheetId="3" r:id="rId3"/>
  </sheets>
  <definedNames>
    <definedName name="_xlnm._FilterDatabase" localSheetId="1" hidden="1">choices!$A$1:$O$1</definedName>
    <definedName name="_xlnm._FilterDatabase" localSheetId="0" hidden="1">survey!$A$1:$L$418</definedName>
    <definedName name="_xlnm.Print_Area" localSheetId="2">settings!$A$1:$Y$37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4" l="1"/>
  <c r="J25" i="4" l="1"/>
  <c r="B409" i="4"/>
  <c r="J407" i="4"/>
  <c r="B407" i="4"/>
  <c r="J405" i="4"/>
  <c r="B405" i="4"/>
  <c r="J403" i="4"/>
  <c r="B403" i="4"/>
  <c r="B389" i="4"/>
  <c r="B388" i="4"/>
  <c r="J388" i="4"/>
  <c r="J389" i="4"/>
  <c r="B381" i="4"/>
  <c r="D113" i="2" l="1"/>
  <c r="D106" i="2" l="1"/>
  <c r="D99" i="2"/>
  <c r="D100" i="2"/>
  <c r="D101" i="2"/>
  <c r="D102" i="2"/>
  <c r="D103" i="2"/>
  <c r="D104" i="2"/>
  <c r="D105" i="2"/>
  <c r="D107" i="2"/>
  <c r="D108" i="2"/>
  <c r="D109" i="2"/>
  <c r="D110" i="2"/>
  <c r="D111" i="2"/>
  <c r="D112" i="2"/>
  <c r="D98" i="2"/>
  <c r="D27" i="4"/>
  <c r="C27" i="4"/>
  <c r="L28" i="4" s="1"/>
  <c r="L29" i="4" s="1"/>
  <c r="L30" i="4" s="1"/>
  <c r="L31" i="4" s="1"/>
  <c r="L32" i="4" s="1"/>
  <c r="L33" i="4" s="1"/>
  <c r="L34" i="4" s="1"/>
  <c r="B28" i="4" l="1"/>
  <c r="F35" i="4" s="1"/>
  <c r="B27" i="4"/>
  <c r="D29" i="4" l="1"/>
  <c r="D30" i="4"/>
  <c r="F43" i="4"/>
  <c r="J31" i="4"/>
  <c r="J32" i="4"/>
  <c r="B29" i="4"/>
  <c r="J33" i="4" s="1"/>
  <c r="B30" i="4" l="1"/>
  <c r="B31" i="4" l="1"/>
  <c r="D36" i="4" l="1"/>
  <c r="D37" i="4"/>
  <c r="B32" i="4"/>
  <c r="B33" i="4"/>
  <c r="C43" i="4" l="1"/>
  <c r="C40" i="4"/>
  <c r="C36" i="4"/>
  <c r="C35" i="4"/>
  <c r="C44" i="4"/>
  <c r="C38" i="4"/>
  <c r="C37" i="4"/>
  <c r="C39" i="4"/>
  <c r="D39" i="4"/>
  <c r="D38" i="4"/>
  <c r="B34" i="4"/>
  <c r="D34" i="4"/>
  <c r="C34" i="4"/>
  <c r="L35" i="4" s="1"/>
  <c r="B35" i="4" s="1"/>
  <c r="L36" i="4" l="1"/>
  <c r="B36" i="4" s="1"/>
  <c r="L37" i="4" l="1"/>
  <c r="B37" i="4" s="1"/>
  <c r="L38" i="4"/>
  <c r="B38" i="4" l="1"/>
  <c r="L39" i="4"/>
  <c r="B39" i="4" l="1"/>
  <c r="L40" i="4"/>
  <c r="B40" i="4" l="1"/>
  <c r="L41" i="4"/>
  <c r="L42" i="4" s="1"/>
  <c r="D42" i="4" l="1"/>
  <c r="B42" i="4"/>
  <c r="C42" i="4"/>
  <c r="L43" i="4" s="1"/>
  <c r="B43" i="4" l="1"/>
  <c r="L44" i="4"/>
  <c r="B44" i="4" l="1"/>
  <c r="L45" i="4"/>
  <c r="L46" i="4" l="1"/>
  <c r="L47" i="4" s="1"/>
  <c r="L48" i="4" s="1"/>
  <c r="B45" i="4"/>
  <c r="L49" i="4" l="1"/>
  <c r="D48" i="4"/>
  <c r="C49" i="4"/>
  <c r="L50" i="4" s="1"/>
  <c r="D49" i="4"/>
  <c r="B48" i="4"/>
  <c r="B49" i="4" l="1"/>
  <c r="L51" i="4"/>
  <c r="B50" i="4"/>
  <c r="D51" i="4" l="1"/>
  <c r="F65" i="4"/>
  <c r="J53" i="4"/>
  <c r="F57" i="4"/>
  <c r="J54" i="4"/>
  <c r="D52" i="4"/>
  <c r="L52" i="4"/>
  <c r="B51" i="4"/>
  <c r="J55" i="4" l="1"/>
  <c r="L53" i="4"/>
  <c r="B52" i="4"/>
  <c r="L54" i="4" l="1"/>
  <c r="B53" i="4"/>
  <c r="D58" i="4" l="1"/>
  <c r="D59" i="4"/>
  <c r="B54" i="4"/>
  <c r="L55" i="4"/>
  <c r="B55" i="4" l="1"/>
  <c r="L56" i="4"/>
  <c r="D60" i="4"/>
  <c r="D61" i="4"/>
  <c r="D56" i="4" l="1"/>
  <c r="C56" i="4"/>
  <c r="L57" i="4" s="1"/>
  <c r="B57" i="4" s="1"/>
  <c r="B56" i="4"/>
  <c r="C62" i="4"/>
  <c r="C58" i="4"/>
  <c r="C59" i="4"/>
  <c r="C66" i="4"/>
  <c r="C57" i="4"/>
  <c r="L58" i="4" s="1"/>
  <c r="B58" i="4" s="1"/>
  <c r="C65" i="4"/>
  <c r="C60" i="4"/>
  <c r="C61" i="4"/>
  <c r="L59" i="4" l="1"/>
  <c r="B59" i="4" s="1"/>
  <c r="L60" i="4" l="1"/>
  <c r="B60" i="4" l="1"/>
  <c r="L61" i="4"/>
  <c r="B61" i="4" l="1"/>
  <c r="L62" i="4"/>
  <c r="B62" i="4" l="1"/>
  <c r="D64" i="4" s="1"/>
  <c r="L63" i="4"/>
  <c r="L64" i="4" s="1"/>
  <c r="B64" i="4" l="1"/>
  <c r="C64" i="4"/>
  <c r="L65" i="4" s="1"/>
  <c r="B65" i="4" l="1"/>
  <c r="L66" i="4"/>
  <c r="B66" i="4" l="1"/>
  <c r="L67" i="4"/>
  <c r="L68" i="4" l="1"/>
  <c r="L69" i="4" s="1"/>
  <c r="L70" i="4" s="1"/>
  <c r="D70" i="4" s="1"/>
  <c r="B67" i="4"/>
  <c r="B70" i="4" l="1"/>
  <c r="L71" i="4"/>
  <c r="C71" i="4" l="1"/>
  <c r="L72" i="4" s="1"/>
  <c r="D71" i="4"/>
  <c r="L73" i="4" l="1"/>
  <c r="B71" i="4"/>
  <c r="B72" i="4"/>
  <c r="D74" i="4" l="1"/>
  <c r="F87" i="4"/>
  <c r="J75" i="4"/>
  <c r="D73" i="4"/>
  <c r="J76" i="4"/>
  <c r="F79" i="4"/>
  <c r="B73" i="4"/>
  <c r="J77" i="4" s="1"/>
  <c r="L74" i="4"/>
  <c r="B74" i="4" l="1"/>
  <c r="L75" i="4"/>
  <c r="B75" i="4" l="1"/>
  <c r="L76" i="4"/>
  <c r="L77" i="4" l="1"/>
  <c r="B76" i="4"/>
  <c r="D80" i="4"/>
  <c r="D81" i="4"/>
  <c r="D82" i="4" l="1"/>
  <c r="D83" i="4"/>
  <c r="L78" i="4"/>
  <c r="B77" i="4"/>
  <c r="C83" i="4" l="1"/>
  <c r="C81" i="4"/>
  <c r="C88" i="4"/>
  <c r="C87" i="4"/>
  <c r="C80" i="4"/>
  <c r="C82" i="4"/>
  <c r="C84" i="4"/>
  <c r="C79" i="4"/>
  <c r="B78" i="4"/>
  <c r="C78" i="4"/>
  <c r="L79" i="4" s="1"/>
  <c r="B79" i="4" s="1"/>
  <c r="D78" i="4"/>
  <c r="L80" i="4" l="1"/>
  <c r="B80" i="4" s="1"/>
  <c r="L81" i="4"/>
  <c r="B81" i="4" s="1"/>
  <c r="L82" i="4"/>
  <c r="B82" i="4" s="1"/>
  <c r="L83" i="4" l="1"/>
  <c r="B83" i="4" l="1"/>
  <c r="L84" i="4"/>
  <c r="B84" i="4" l="1"/>
  <c r="D86" i="4" s="1"/>
  <c r="L85" i="4"/>
  <c r="L86" i="4" s="1"/>
  <c r="C86" i="4" l="1"/>
  <c r="L87" i="4" s="1"/>
  <c r="B86" i="4"/>
  <c r="B87" i="4" l="1"/>
  <c r="L88" i="4"/>
  <c r="B88" i="4" l="1"/>
  <c r="L89" i="4"/>
  <c r="L90" i="4" l="1"/>
  <c r="L91" i="4" s="1"/>
  <c r="L92" i="4" s="1"/>
  <c r="D92" i="4" s="1"/>
  <c r="B89" i="4"/>
  <c r="B92" i="4" l="1"/>
  <c r="L93" i="4"/>
  <c r="C93" i="4" l="1"/>
  <c r="L94" i="4" s="1"/>
  <c r="D93" i="4"/>
  <c r="B93" i="4" l="1"/>
  <c r="B94" i="4"/>
  <c r="L95" i="4"/>
  <c r="B95" i="4" l="1"/>
  <c r="J99" i="4" s="1"/>
  <c r="L96" i="4"/>
  <c r="J98" i="4"/>
  <c r="J97" i="4"/>
  <c r="F109" i="4"/>
  <c r="D95" i="4"/>
  <c r="F101" i="4"/>
  <c r="D96" i="4"/>
  <c r="B96" i="4" l="1"/>
  <c r="L97" i="4"/>
  <c r="B97" i="4" l="1"/>
  <c r="L98" i="4"/>
  <c r="L99" i="4" l="1"/>
  <c r="B98" i="4"/>
  <c r="D102" i="4"/>
  <c r="D103" i="4"/>
  <c r="D105" i="4" l="1"/>
  <c r="D104" i="4"/>
  <c r="L100" i="4"/>
  <c r="B99" i="4"/>
  <c r="C106" i="4" l="1"/>
  <c r="C101" i="4"/>
  <c r="C102" i="4"/>
  <c r="C105" i="4"/>
  <c r="C110" i="4"/>
  <c r="C103" i="4"/>
  <c r="C104" i="4"/>
  <c r="C109" i="4"/>
  <c r="C100" i="4"/>
  <c r="L101" i="4" s="1"/>
  <c r="B101" i="4" s="1"/>
  <c r="B100" i="4"/>
  <c r="D100" i="4"/>
  <c r="L102" i="4" l="1"/>
  <c r="B102" i="4" s="1"/>
  <c r="L103" i="4"/>
  <c r="B103" i="4" s="1"/>
  <c r="L104" i="4" l="1"/>
  <c r="B104" i="4" l="1"/>
  <c r="L105" i="4"/>
  <c r="B105" i="4" l="1"/>
  <c r="L106" i="4"/>
  <c r="B106" i="4" l="1"/>
  <c r="D108" i="4" s="1"/>
  <c r="L107" i="4"/>
  <c r="L108" i="4" s="1"/>
  <c r="B108" i="4" l="1"/>
  <c r="C108" i="4"/>
  <c r="L109" i="4" s="1"/>
  <c r="B109" i="4" l="1"/>
  <c r="L110" i="4"/>
  <c r="B110" i="4" l="1"/>
  <c r="L111" i="4"/>
  <c r="B111" i="4" l="1"/>
  <c r="L112" i="4"/>
  <c r="L113" i="4" s="1"/>
  <c r="L114" i="4" s="1"/>
  <c r="D114" i="4" s="1"/>
  <c r="B114" i="4" l="1"/>
  <c r="L115" i="4"/>
  <c r="C115" i="4" l="1"/>
  <c r="L116" i="4" s="1"/>
  <c r="D115" i="4"/>
  <c r="B116" i="4" l="1"/>
  <c r="B115" i="4"/>
  <c r="L117" i="4"/>
  <c r="L118" i="4" l="1"/>
  <c r="B117" i="4"/>
  <c r="J121" i="4" s="1"/>
  <c r="J120" i="4"/>
  <c r="D118" i="4"/>
  <c r="D117" i="4"/>
  <c r="J119" i="4"/>
  <c r="F131" i="4"/>
  <c r="F123" i="4"/>
  <c r="B118" i="4" l="1"/>
  <c r="L119" i="4"/>
  <c r="L120" i="4" l="1"/>
  <c r="B119" i="4"/>
  <c r="D125" i="4" l="1"/>
  <c r="D124" i="4"/>
  <c r="L121" i="4"/>
  <c r="B120" i="4"/>
  <c r="D126" i="4" l="1"/>
  <c r="D127" i="4"/>
  <c r="L122" i="4"/>
  <c r="B121" i="4"/>
  <c r="C125" i="4" l="1"/>
  <c r="C131" i="4"/>
  <c r="C128" i="4"/>
  <c r="C126" i="4"/>
  <c r="C124" i="4"/>
  <c r="C132" i="4"/>
  <c r="C127" i="4"/>
  <c r="C123" i="4"/>
  <c r="D122" i="4"/>
  <c r="C122" i="4"/>
  <c r="L123" i="4" s="1"/>
  <c r="B123" i="4" s="1"/>
  <c r="B122" i="4"/>
  <c r="L124" i="4" l="1"/>
  <c r="B124" i="4" s="1"/>
  <c r="L125" i="4"/>
  <c r="B125" i="4" s="1"/>
  <c r="L126" i="4" l="1"/>
  <c r="B126" i="4" s="1"/>
  <c r="L127" i="4"/>
  <c r="B127" i="4" l="1"/>
  <c r="L128" i="4"/>
  <c r="B128" i="4" l="1"/>
  <c r="D130" i="4" s="1"/>
  <c r="L129" i="4"/>
  <c r="L130" i="4" s="1"/>
  <c r="B130" i="4" l="1"/>
  <c r="C130" i="4"/>
  <c r="L131" i="4" s="1"/>
  <c r="B131" i="4" l="1"/>
  <c r="L132" i="4"/>
  <c r="B132" i="4" l="1"/>
  <c r="L133" i="4"/>
  <c r="L134" i="4" l="1"/>
  <c r="L135" i="4" s="1"/>
  <c r="L136" i="4" s="1"/>
  <c r="D136" i="4" s="1"/>
  <c r="B133" i="4"/>
  <c r="B136" i="4" l="1"/>
  <c r="L137" i="4"/>
  <c r="C137" i="4" l="1"/>
  <c r="L138" i="4" s="1"/>
  <c r="D137" i="4"/>
  <c r="B138" i="4" l="1"/>
  <c r="B137" i="4"/>
  <c r="L139" i="4"/>
  <c r="B139" i="4" l="1"/>
  <c r="J143" i="4" s="1"/>
  <c r="L140" i="4"/>
  <c r="J142" i="4"/>
  <c r="D139" i="4"/>
  <c r="F153" i="4"/>
  <c r="F145" i="4"/>
  <c r="D140" i="4"/>
  <c r="J141" i="4"/>
  <c r="B140" i="4" l="1"/>
  <c r="L141" i="4"/>
  <c r="L142" i="4" l="1"/>
  <c r="B141" i="4"/>
  <c r="D146" i="4" l="1"/>
  <c r="D147" i="4"/>
  <c r="L143" i="4"/>
  <c r="B142" i="4"/>
  <c r="D149" i="4" l="1"/>
  <c r="D148" i="4"/>
  <c r="L144" i="4"/>
  <c r="B143" i="4"/>
  <c r="C149" i="4" l="1"/>
  <c r="C147" i="4"/>
  <c r="C146" i="4"/>
  <c r="C153" i="4"/>
  <c r="C145" i="4"/>
  <c r="C148" i="4"/>
  <c r="C154" i="4"/>
  <c r="C150" i="4"/>
  <c r="B144" i="4"/>
  <c r="C144" i="4"/>
  <c r="L145" i="4" s="1"/>
  <c r="B145" i="4" s="1"/>
  <c r="D144" i="4"/>
  <c r="L146" i="4" l="1"/>
  <c r="B146" i="4" s="1"/>
  <c r="L147" i="4"/>
  <c r="B147" i="4" s="1"/>
  <c r="L148" i="4" l="1"/>
  <c r="B148" i="4" l="1"/>
  <c r="L149" i="4"/>
  <c r="B149" i="4" l="1"/>
  <c r="L150" i="4"/>
  <c r="B150" i="4" l="1"/>
  <c r="D152" i="4" s="1"/>
  <c r="L151" i="4"/>
  <c r="L152" i="4" s="1"/>
  <c r="B152" i="4" l="1"/>
  <c r="C152" i="4"/>
  <c r="L153" i="4" s="1"/>
  <c r="B153" i="4" l="1"/>
  <c r="L154" i="4"/>
  <c r="B154" i="4" l="1"/>
  <c r="L155" i="4"/>
  <c r="L156" i="4" l="1"/>
  <c r="L157" i="4" s="1"/>
  <c r="L158" i="4" s="1"/>
  <c r="D158" i="4" s="1"/>
  <c r="B155" i="4"/>
  <c r="B158" i="4" l="1"/>
  <c r="L159" i="4"/>
  <c r="C159" i="4" l="1"/>
  <c r="L160" i="4" s="1"/>
  <c r="D159" i="4"/>
  <c r="L161" i="4" l="1"/>
  <c r="B160" i="4"/>
  <c r="B159" i="4"/>
  <c r="F167" i="4" l="1"/>
  <c r="J163" i="4"/>
  <c r="F175" i="4"/>
  <c r="J164" i="4"/>
  <c r="D162" i="4"/>
  <c r="D161" i="4"/>
  <c r="B161" i="4"/>
  <c r="J165" i="4" s="1"/>
  <c r="L162" i="4"/>
  <c r="L163" i="4" l="1"/>
  <c r="B162" i="4"/>
  <c r="L164" i="4" l="1"/>
  <c r="B163" i="4"/>
  <c r="D168" i="4" l="1"/>
  <c r="D169" i="4"/>
  <c r="L165" i="4"/>
  <c r="B164" i="4"/>
  <c r="D170" i="4" l="1"/>
  <c r="D171" i="4"/>
  <c r="L166" i="4"/>
  <c r="B165" i="4"/>
  <c r="C176" i="4" l="1"/>
  <c r="C170" i="4"/>
  <c r="C172" i="4"/>
  <c r="C171" i="4"/>
  <c r="C169" i="4"/>
  <c r="C175" i="4"/>
  <c r="C167" i="4"/>
  <c r="C168" i="4"/>
  <c r="D166" i="4"/>
  <c r="C166" i="4"/>
  <c r="L167" i="4" s="1"/>
  <c r="B167" i="4" s="1"/>
  <c r="B166" i="4"/>
  <c r="L168" i="4" l="1"/>
  <c r="B168" i="4" s="1"/>
  <c r="L169" i="4"/>
  <c r="B169" i="4" s="1"/>
  <c r="L170" i="4" l="1"/>
  <c r="B170" i="4" l="1"/>
  <c r="L171" i="4"/>
  <c r="B171" i="4" l="1"/>
  <c r="L172" i="4"/>
  <c r="B172" i="4" l="1"/>
  <c r="D174" i="4" s="1"/>
  <c r="L173" i="4"/>
  <c r="L174" i="4" s="1"/>
  <c r="B174" i="4" l="1"/>
  <c r="C174" i="4"/>
  <c r="L175" i="4" s="1"/>
  <c r="L176" i="4" l="1"/>
  <c r="B175" i="4"/>
  <c r="B176" i="4" l="1"/>
  <c r="L177" i="4"/>
  <c r="L178" i="4" l="1"/>
  <c r="L179" i="4" s="1"/>
  <c r="L180" i="4" s="1"/>
  <c r="D180" i="4" s="1"/>
  <c r="B177" i="4"/>
  <c r="B180" i="4" l="1"/>
  <c r="L181" i="4"/>
  <c r="C181" i="4" l="1"/>
  <c r="L182" i="4" s="1"/>
  <c r="D181" i="4"/>
  <c r="B182" i="4" l="1"/>
  <c r="B181" i="4"/>
  <c r="L183" i="4"/>
  <c r="B183" i="4" l="1"/>
  <c r="L184" i="4"/>
  <c r="F197" i="4"/>
  <c r="F189" i="4"/>
  <c r="J186" i="4"/>
  <c r="D183" i="4"/>
  <c r="J187" i="4"/>
  <c r="J185" i="4"/>
  <c r="D184" i="4"/>
  <c r="B184" i="4" l="1"/>
  <c r="L185" i="4"/>
  <c r="B185" i="4" l="1"/>
  <c r="L186" i="4"/>
  <c r="B186" i="4" l="1"/>
  <c r="L187" i="4"/>
  <c r="D190" i="4"/>
  <c r="D191" i="4"/>
  <c r="L188" i="4" l="1"/>
  <c r="B187" i="4"/>
  <c r="D193" i="4"/>
  <c r="D192" i="4"/>
  <c r="C193" i="4" l="1"/>
  <c r="C189" i="4"/>
  <c r="C192" i="4"/>
  <c r="C197" i="4"/>
  <c r="C190" i="4"/>
  <c r="C198" i="4"/>
  <c r="C191" i="4"/>
  <c r="C194" i="4"/>
  <c r="B188" i="4"/>
  <c r="C188" i="4"/>
  <c r="L189" i="4" s="1"/>
  <c r="B189" i="4" s="1"/>
  <c r="D188" i="4"/>
  <c r="L190" i="4" l="1"/>
  <c r="B190" i="4" s="1"/>
  <c r="L191" i="4" l="1"/>
  <c r="B191" i="4" l="1"/>
  <c r="L192" i="4"/>
  <c r="B192" i="4" l="1"/>
  <c r="L193" i="4"/>
  <c r="L194" i="4" l="1"/>
  <c r="B193" i="4"/>
  <c r="B194" i="4" l="1"/>
  <c r="D196" i="4" s="1"/>
  <c r="L195" i="4"/>
  <c r="L196" i="4" s="1"/>
  <c r="C196" i="4" l="1"/>
  <c r="L197" i="4" s="1"/>
  <c r="B196" i="4"/>
  <c r="L198" i="4" l="1"/>
  <c r="B197" i="4"/>
  <c r="B198" i="4" l="1"/>
  <c r="L199" i="4"/>
  <c r="L200" i="4" l="1"/>
  <c r="L201" i="4" s="1"/>
  <c r="L202" i="4" s="1"/>
  <c r="D202" i="4" s="1"/>
  <c r="B199" i="4"/>
  <c r="B202" i="4" l="1"/>
  <c r="L203" i="4"/>
  <c r="C203" i="4" l="1"/>
  <c r="L204" i="4" s="1"/>
  <c r="D203" i="4"/>
  <c r="L205" i="4" l="1"/>
  <c r="B203" i="4"/>
  <c r="B204" i="4"/>
  <c r="J208" i="4" l="1"/>
  <c r="J207" i="4"/>
  <c r="D205" i="4"/>
  <c r="F219" i="4"/>
  <c r="D206" i="4"/>
  <c r="F211" i="4"/>
  <c r="L206" i="4"/>
  <c r="B205" i="4"/>
  <c r="J209" i="4" s="1"/>
  <c r="B206" i="4" l="1"/>
  <c r="L207" i="4"/>
  <c r="B207" i="4" l="1"/>
  <c r="L208" i="4"/>
  <c r="L209" i="4" l="1"/>
  <c r="B208" i="4"/>
  <c r="D213" i="4"/>
  <c r="D212" i="4"/>
  <c r="D215" i="4" l="1"/>
  <c r="D214" i="4"/>
  <c r="L210" i="4"/>
  <c r="B209" i="4"/>
  <c r="C213" i="4" l="1"/>
  <c r="C216" i="4"/>
  <c r="C211" i="4"/>
  <c r="C214" i="4"/>
  <c r="C219" i="4"/>
  <c r="C215" i="4"/>
  <c r="C212" i="4"/>
  <c r="C220" i="4"/>
  <c r="C210" i="4"/>
  <c r="L211" i="4" s="1"/>
  <c r="B211" i="4" s="1"/>
  <c r="B210" i="4"/>
  <c r="D210" i="4"/>
  <c r="L212" i="4" l="1"/>
  <c r="B212" i="4" s="1"/>
  <c r="L213" i="4" l="1"/>
  <c r="B213" i="4" l="1"/>
  <c r="L214" i="4"/>
  <c r="B214" i="4" l="1"/>
  <c r="L215" i="4"/>
  <c r="B215" i="4" l="1"/>
  <c r="L216" i="4"/>
  <c r="B216" i="4" l="1"/>
  <c r="D218" i="4" s="1"/>
  <c r="L217" i="4"/>
  <c r="L218" i="4" s="1"/>
  <c r="B218" i="4" l="1"/>
  <c r="C218" i="4"/>
  <c r="L219" i="4" s="1"/>
  <c r="B219" i="4" l="1"/>
  <c r="L220" i="4"/>
  <c r="L221" i="4" l="1"/>
  <c r="B220" i="4"/>
  <c r="B221" i="4" l="1"/>
  <c r="L222" i="4"/>
  <c r="L223" i="4" s="1"/>
  <c r="L224" i="4" s="1"/>
  <c r="D224" i="4" s="1"/>
  <c r="L225" i="4" l="1"/>
  <c r="B224" i="4"/>
  <c r="C225" i="4" l="1"/>
  <c r="L226" i="4" s="1"/>
  <c r="D225" i="4"/>
  <c r="B225" i="4" l="1"/>
  <c r="B226" i="4"/>
  <c r="L227" i="4"/>
  <c r="L228" i="4" l="1"/>
  <c r="B227" i="4"/>
  <c r="J231" i="4" s="1"/>
  <c r="D227" i="4"/>
  <c r="J230" i="4"/>
  <c r="F241" i="4"/>
  <c r="D228" i="4"/>
  <c r="J229" i="4"/>
  <c r="F233" i="4"/>
  <c r="B228" i="4" l="1"/>
  <c r="L229" i="4"/>
  <c r="B229" i="4" l="1"/>
  <c r="L230" i="4"/>
  <c r="L231" i="4" l="1"/>
  <c r="B230" i="4"/>
  <c r="D234" i="4"/>
  <c r="D235" i="4"/>
  <c r="D236" i="4" l="1"/>
  <c r="D237" i="4"/>
  <c r="L232" i="4"/>
  <c r="B231" i="4"/>
  <c r="C242" i="4" l="1"/>
  <c r="C241" i="4"/>
  <c r="C234" i="4"/>
  <c r="C233" i="4"/>
  <c r="C236" i="4"/>
  <c r="C237" i="4"/>
  <c r="C238" i="4"/>
  <c r="C235" i="4"/>
  <c r="C232" i="4"/>
  <c r="L233" i="4" s="1"/>
  <c r="B233" i="4" s="1"/>
  <c r="B232" i="4"/>
  <c r="D232" i="4"/>
  <c r="L234" i="4" l="1"/>
  <c r="B234" i="4" s="1"/>
  <c r="L235" i="4"/>
  <c r="B235" i="4" s="1"/>
  <c r="L236" i="4" l="1"/>
  <c r="B236" i="4" l="1"/>
  <c r="L237" i="4"/>
  <c r="B237" i="4" l="1"/>
  <c r="L238" i="4"/>
  <c r="L239" i="4" l="1"/>
  <c r="L240" i="4" s="1"/>
  <c r="B238" i="4"/>
  <c r="D240" i="4" s="1"/>
  <c r="C240" i="4" l="1"/>
  <c r="L241" i="4" s="1"/>
  <c r="B240" i="4"/>
  <c r="B241" i="4" l="1"/>
  <c r="L242" i="4"/>
  <c r="B242" i="4" l="1"/>
  <c r="L243" i="4"/>
  <c r="L244" i="4" l="1"/>
  <c r="L245" i="4" s="1"/>
  <c r="L246" i="4" s="1"/>
  <c r="D246" i="4" s="1"/>
  <c r="B243" i="4"/>
  <c r="B246" i="4" l="1"/>
  <c r="L247" i="4"/>
  <c r="C247" i="4" l="1"/>
  <c r="L248" i="4" s="1"/>
  <c r="D247" i="4"/>
  <c r="B248" i="4" l="1"/>
  <c r="L249" i="4"/>
  <c r="B247" i="4"/>
  <c r="B249" i="4" l="1"/>
  <c r="J253" i="4" s="1"/>
  <c r="L250" i="4"/>
  <c r="D250" i="4"/>
  <c r="F263" i="4"/>
  <c r="J252" i="4"/>
  <c r="F255" i="4"/>
  <c r="J251" i="4"/>
  <c r="D249" i="4"/>
  <c r="L251" i="4" l="1"/>
  <c r="B250" i="4"/>
  <c r="B251" i="4" l="1"/>
  <c r="L252" i="4"/>
  <c r="B252" i="4" l="1"/>
  <c r="L253" i="4"/>
  <c r="D256" i="4"/>
  <c r="D257" i="4"/>
  <c r="L254" i="4" l="1"/>
  <c r="B253" i="4"/>
  <c r="D259" i="4"/>
  <c r="D258" i="4"/>
  <c r="C260" i="4" l="1"/>
  <c r="C255" i="4"/>
  <c r="C259" i="4"/>
  <c r="C258" i="4"/>
  <c r="C263" i="4"/>
  <c r="C256" i="4"/>
  <c r="C264" i="4"/>
  <c r="C257" i="4"/>
  <c r="C254" i="4"/>
  <c r="L255" i="4" s="1"/>
  <c r="B255" i="4" s="1"/>
  <c r="B254" i="4"/>
  <c r="D254" i="4"/>
  <c r="L256" i="4" l="1"/>
  <c r="B256" i="4" s="1"/>
  <c r="L257" i="4" l="1"/>
  <c r="B257" i="4" l="1"/>
  <c r="L258" i="4"/>
  <c r="B258" i="4" l="1"/>
  <c r="L259" i="4"/>
  <c r="B259" i="4" l="1"/>
  <c r="L260" i="4"/>
  <c r="B260" i="4" l="1"/>
  <c r="D262" i="4" s="1"/>
  <c r="L261" i="4"/>
  <c r="L262" i="4" s="1"/>
  <c r="B262" i="4" l="1"/>
  <c r="C262" i="4"/>
  <c r="L263" i="4" s="1"/>
  <c r="B263" i="4" l="1"/>
  <c r="L264" i="4"/>
  <c r="B264" i="4" l="1"/>
  <c r="L265" i="4"/>
  <c r="B265" i="4" l="1"/>
  <c r="L266" i="4"/>
  <c r="L267" i="4" s="1"/>
  <c r="L268" i="4" s="1"/>
  <c r="D268" i="4" s="1"/>
  <c r="B268" i="4" l="1"/>
  <c r="L269" i="4"/>
  <c r="C269" i="4" l="1"/>
  <c r="L270" i="4" s="1"/>
  <c r="D269" i="4"/>
  <c r="B269" i="4" l="1"/>
  <c r="L271" i="4"/>
  <c r="B270" i="4"/>
  <c r="J273" i="4" l="1"/>
  <c r="F285" i="4"/>
  <c r="F277" i="4"/>
  <c r="D272" i="4"/>
  <c r="D271" i="4"/>
  <c r="J274" i="4"/>
  <c r="B271" i="4"/>
  <c r="J275" i="4" s="1"/>
  <c r="L272" i="4"/>
  <c r="L273" i="4" l="1"/>
  <c r="B272" i="4"/>
  <c r="L274" i="4" l="1"/>
  <c r="B273" i="4"/>
  <c r="D279" i="4" l="1"/>
  <c r="D278" i="4"/>
  <c r="B274" i="4"/>
  <c r="L275" i="4"/>
  <c r="B275" i="4" l="1"/>
  <c r="L276" i="4"/>
  <c r="D281" i="4"/>
  <c r="D280" i="4"/>
  <c r="C276" i="4" l="1"/>
  <c r="L277" i="4" s="1"/>
  <c r="B277" i="4" s="1"/>
  <c r="B276" i="4"/>
  <c r="D276" i="4"/>
  <c r="C277" i="4"/>
  <c r="L278" i="4" s="1"/>
  <c r="B278" i="4" s="1"/>
  <c r="C285" i="4"/>
  <c r="C286" i="4"/>
  <c r="C281" i="4"/>
  <c r="C282" i="4"/>
  <c r="C278" i="4"/>
  <c r="L279" i="4" s="1"/>
  <c r="B279" i="4" s="1"/>
  <c r="C280" i="4"/>
  <c r="C279" i="4"/>
  <c r="L280" i="4" s="1"/>
  <c r="B280" i="4" s="1"/>
  <c r="L281" i="4" l="1"/>
  <c r="B281" i="4" s="1"/>
  <c r="L282" i="4"/>
  <c r="B282" i="4" s="1"/>
  <c r="D284" i="4" s="1"/>
  <c r="L283" i="4" l="1"/>
  <c r="L284" i="4" s="1"/>
  <c r="C284" i="4"/>
  <c r="L285" i="4" s="1"/>
  <c r="B284" i="4"/>
  <c r="B285" i="4" l="1"/>
  <c r="L286" i="4"/>
  <c r="B286" i="4" l="1"/>
  <c r="L287" i="4"/>
  <c r="B287" i="4" l="1"/>
  <c r="L288" i="4"/>
  <c r="L289" i="4" s="1"/>
  <c r="L290" i="4" s="1"/>
  <c r="D290" i="4" s="1"/>
  <c r="L291" i="4" l="1"/>
  <c r="B290" i="4"/>
  <c r="C291" i="4" l="1"/>
  <c r="L292" i="4" s="1"/>
  <c r="D291" i="4"/>
  <c r="L293" i="4" l="1"/>
  <c r="B291" i="4"/>
  <c r="B292" i="4"/>
  <c r="J296" i="4" l="1"/>
  <c r="F307" i="4"/>
  <c r="F299" i="4"/>
  <c r="D294" i="4"/>
  <c r="J295" i="4"/>
  <c r="D293" i="4"/>
  <c r="B293" i="4"/>
  <c r="J297" i="4" s="1"/>
  <c r="L294" i="4"/>
  <c r="L295" i="4" l="1"/>
  <c r="B294" i="4"/>
  <c r="L296" i="4" l="1"/>
  <c r="B295" i="4"/>
  <c r="D300" i="4" l="1"/>
  <c r="D301" i="4"/>
  <c r="B296" i="4"/>
  <c r="L297" i="4"/>
  <c r="D303" i="4" l="1"/>
  <c r="D302" i="4"/>
  <c r="B297" i="4"/>
  <c r="L298" i="4"/>
  <c r="C298" i="4" l="1"/>
  <c r="L299" i="4" s="1"/>
  <c r="B299" i="4" s="1"/>
  <c r="B298" i="4"/>
  <c r="D298" i="4"/>
  <c r="C303" i="4"/>
  <c r="C300" i="4"/>
  <c r="C304" i="4"/>
  <c r="C307" i="4"/>
  <c r="C308" i="4"/>
  <c r="C299" i="4"/>
  <c r="L300" i="4" s="1"/>
  <c r="B300" i="4" s="1"/>
  <c r="C301" i="4"/>
  <c r="C302" i="4"/>
  <c r="L301" i="4" l="1"/>
  <c r="B301" i="4" s="1"/>
  <c r="L302" i="4" l="1"/>
  <c r="B302" i="4" l="1"/>
  <c r="L303" i="4"/>
  <c r="L304" i="4" l="1"/>
  <c r="B303" i="4"/>
  <c r="B304" i="4" l="1"/>
  <c r="D306" i="4" s="1"/>
  <c r="L305" i="4"/>
  <c r="L306" i="4" s="1"/>
  <c r="B306" i="4" l="1"/>
  <c r="C306" i="4"/>
  <c r="L307" i="4" s="1"/>
  <c r="L308" i="4" l="1"/>
  <c r="B307" i="4"/>
  <c r="B308" i="4" l="1"/>
  <c r="L309" i="4"/>
  <c r="B309" i="4" l="1"/>
  <c r="L310" i="4"/>
  <c r="L311" i="4" s="1"/>
  <c r="L312" i="4" s="1"/>
  <c r="D312" i="4" s="1"/>
  <c r="B312" i="4" l="1"/>
  <c r="L313" i="4"/>
  <c r="C313" i="4" l="1"/>
  <c r="L314" i="4" s="1"/>
  <c r="D313" i="4"/>
  <c r="L315" i="4" l="1"/>
  <c r="B314" i="4"/>
  <c r="B313" i="4"/>
  <c r="J317" i="4" l="1"/>
  <c r="J318" i="4"/>
  <c r="D315" i="4"/>
  <c r="F321" i="4"/>
  <c r="D316" i="4"/>
  <c r="F329" i="4"/>
  <c r="L316" i="4"/>
  <c r="B315" i="4"/>
  <c r="J319" i="4" s="1"/>
  <c r="B316" i="4" l="1"/>
  <c r="L317" i="4"/>
  <c r="L318" i="4" l="1"/>
  <c r="B317" i="4"/>
  <c r="D323" i="4" l="1"/>
  <c r="D322" i="4"/>
  <c r="B318" i="4"/>
  <c r="L319" i="4"/>
  <c r="D325" i="4" l="1"/>
  <c r="D324" i="4"/>
  <c r="B319" i="4"/>
  <c r="L320" i="4"/>
  <c r="D320" i="4" l="1"/>
  <c r="B320" i="4"/>
  <c r="C320" i="4"/>
  <c r="L321" i="4" s="1"/>
  <c r="B321" i="4" s="1"/>
  <c r="C326" i="4"/>
  <c r="C322" i="4"/>
  <c r="C324" i="4"/>
  <c r="C323" i="4"/>
  <c r="C330" i="4"/>
  <c r="C325" i="4"/>
  <c r="C329" i="4"/>
  <c r="C321" i="4"/>
  <c r="L322" i="4" s="1"/>
  <c r="B322" i="4" s="1"/>
  <c r="L323" i="4" l="1"/>
  <c r="B323" i="4" s="1"/>
  <c r="L324" i="4" l="1"/>
  <c r="B324" i="4" l="1"/>
  <c r="L325" i="4"/>
  <c r="L326" i="4" l="1"/>
  <c r="B325" i="4"/>
  <c r="B326" i="4" l="1"/>
  <c r="D328" i="4" s="1"/>
  <c r="L327" i="4"/>
  <c r="L328" i="4" s="1"/>
  <c r="B328" i="4" l="1"/>
  <c r="C328" i="4"/>
  <c r="L329" i="4" s="1"/>
  <c r="L330" i="4" l="1"/>
  <c r="B329" i="4"/>
  <c r="B330" i="4" l="1"/>
  <c r="L331" i="4"/>
  <c r="B331" i="4" l="1"/>
  <c r="L332" i="4"/>
  <c r="L333" i="4" s="1"/>
  <c r="L334" i="4" s="1"/>
  <c r="D334" i="4" s="1"/>
  <c r="L335" i="4" l="1"/>
  <c r="B334" i="4"/>
  <c r="D335" i="4" l="1"/>
  <c r="C335" i="4"/>
  <c r="L336" i="4" s="1"/>
  <c r="B336" i="4" l="1"/>
  <c r="B335" i="4"/>
  <c r="L337" i="4"/>
  <c r="L338" i="4" l="1"/>
  <c r="B337" i="4"/>
  <c r="J341" i="4" s="1"/>
  <c r="J339" i="4"/>
  <c r="D338" i="4"/>
  <c r="D337" i="4"/>
  <c r="J340" i="4"/>
  <c r="F343" i="4"/>
  <c r="F351" i="4"/>
  <c r="B338" i="4" l="1"/>
  <c r="L339" i="4"/>
  <c r="L340" i="4" l="1"/>
  <c r="B339" i="4"/>
  <c r="D345" i="4" l="1"/>
  <c r="D344" i="4"/>
  <c r="L341" i="4"/>
  <c r="B340" i="4"/>
  <c r="B341" i="4" l="1"/>
  <c r="L342" i="4"/>
  <c r="D346" i="4"/>
  <c r="D347" i="4"/>
  <c r="B342" i="4" l="1"/>
  <c r="C342" i="4"/>
  <c r="L343" i="4" s="1"/>
  <c r="B343" i="4" s="1"/>
  <c r="D342" i="4"/>
  <c r="C344" i="4"/>
  <c r="C346" i="4"/>
  <c r="C345" i="4"/>
  <c r="C347" i="4"/>
  <c r="C351" i="4"/>
  <c r="C348" i="4"/>
  <c r="C343" i="4"/>
  <c r="L344" i="4" s="1"/>
  <c r="B344" i="4" s="1"/>
  <c r="C352" i="4"/>
  <c r="L345" i="4" l="1"/>
  <c r="B345" i="4" s="1"/>
  <c r="L346" i="4" l="1"/>
  <c r="B346" i="4" l="1"/>
  <c r="L347" i="4"/>
  <c r="B347" i="4" l="1"/>
  <c r="L348" i="4"/>
  <c r="B348" i="4" l="1"/>
  <c r="D350" i="4" s="1"/>
  <c r="L349" i="4"/>
  <c r="L350" i="4" s="1"/>
  <c r="B350" i="4" l="1"/>
  <c r="C350" i="4"/>
  <c r="L351" i="4" s="1"/>
  <c r="B351" i="4" l="1"/>
  <c r="L352" i="4"/>
  <c r="B352" i="4" l="1"/>
  <c r="L353" i="4"/>
  <c r="L354" i="4" l="1"/>
  <c r="L355" i="4" s="1"/>
  <c r="L356" i="4" s="1"/>
  <c r="D356" i="4" s="1"/>
  <c r="B353" i="4"/>
  <c r="B356" i="4" l="1"/>
  <c r="L357" i="4"/>
  <c r="D357" i="4" l="1"/>
  <c r="C357" i="4"/>
  <c r="L358" i="4" s="1"/>
  <c r="B358" i="4" l="1"/>
  <c r="L359" i="4"/>
  <c r="B357" i="4"/>
  <c r="B359" i="4" l="1"/>
  <c r="L360" i="4"/>
  <c r="J362" i="4"/>
  <c r="D360" i="4"/>
  <c r="F373" i="4"/>
  <c r="D359" i="4"/>
  <c r="F365" i="4"/>
  <c r="J363" i="4"/>
  <c r="J361" i="4"/>
  <c r="B360" i="4" l="1"/>
  <c r="L361" i="4"/>
  <c r="L362" i="4" l="1"/>
  <c r="B361" i="4"/>
  <c r="D366" i="4" l="1"/>
  <c r="D367" i="4"/>
  <c r="B362" i="4"/>
  <c r="L363" i="4"/>
  <c r="D369" i="4" l="1"/>
  <c r="D368" i="4"/>
  <c r="B363" i="4"/>
  <c r="L364" i="4"/>
  <c r="C368" i="4" l="1"/>
  <c r="C369" i="4"/>
  <c r="C367" i="4"/>
  <c r="C370" i="4"/>
  <c r="C373" i="4"/>
  <c r="C366" i="4"/>
  <c r="C365" i="4"/>
  <c r="C374" i="4"/>
  <c r="C364" i="4"/>
  <c r="L365" i="4" s="1"/>
  <c r="B365" i="4" s="1"/>
  <c r="D364" i="4"/>
  <c r="B364" i="4"/>
  <c r="L366" i="4" l="1"/>
  <c r="B366" i="4" s="1"/>
  <c r="L367" i="4" l="1"/>
  <c r="B367" i="4" l="1"/>
  <c r="L368" i="4"/>
  <c r="B368" i="4" l="1"/>
  <c r="L369" i="4"/>
  <c r="B369" i="4" l="1"/>
  <c r="L370" i="4"/>
  <c r="B370" i="4" l="1"/>
  <c r="D372" i="4" s="1"/>
  <c r="L371" i="4"/>
  <c r="L372" i="4" s="1"/>
  <c r="B372" i="4" l="1"/>
  <c r="C372" i="4"/>
  <c r="L373" i="4" s="1"/>
  <c r="B373" i="4" l="1"/>
  <c r="L374" i="4"/>
  <c r="L375" i="4" l="1"/>
  <c r="B374" i="4"/>
  <c r="L376" i="4" l="1"/>
  <c r="L377" i="4" s="1"/>
  <c r="L378" i="4" s="1"/>
  <c r="B375" i="4"/>
  <c r="B378" i="4" l="1"/>
  <c r="C392" i="4" s="1"/>
  <c r="D378" i="4"/>
</calcChain>
</file>

<file path=xl/sharedStrings.xml><?xml version="1.0" encoding="utf-8"?>
<sst xmlns="http://schemas.openxmlformats.org/spreadsheetml/2006/main" count="4714" uniqueCount="1529">
  <si>
    <t>type</t>
  </si>
  <si>
    <t>name</t>
  </si>
  <si>
    <t>list name</t>
  </si>
  <si>
    <t>text</t>
  </si>
  <si>
    <t>integer</t>
  </si>
  <si>
    <t>constraint</t>
  </si>
  <si>
    <t>constraint message</t>
  </si>
  <si>
    <t>required</t>
  </si>
  <si>
    <t>appearance</t>
  </si>
  <si>
    <t>date</t>
  </si>
  <si>
    <t>relevant</t>
  </si>
  <si>
    <t>begin group</t>
  </si>
  <si>
    <t>form_title</t>
  </si>
  <si>
    <t>form_id</t>
  </si>
  <si>
    <t>yes</t>
  </si>
  <si>
    <t>version</t>
  </si>
  <si>
    <t>data</t>
  </si>
  <si>
    <t>time</t>
  </si>
  <si>
    <t>Tipo de embarcação</t>
  </si>
  <si>
    <t>bote</t>
  </si>
  <si>
    <t>combustivel</t>
  </si>
  <si>
    <t>end group</t>
  </si>
  <si>
    <t>especies</t>
  </si>
  <si>
    <t>hora-saida</t>
  </si>
  <si>
    <t>numero-pescadores</t>
  </si>
  <si>
    <t>field-list</t>
  </si>
  <si>
    <t>select_one sim_nao</t>
  </si>
  <si>
    <t>sim_nao</t>
  </si>
  <si>
    <t>sim</t>
  </si>
  <si>
    <t>nao</t>
  </si>
  <si>
    <t>Sim</t>
  </si>
  <si>
    <t>Não</t>
  </si>
  <si>
    <t>select_one especies</t>
  </si>
  <si>
    <t>decimal</t>
  </si>
  <si>
    <t>unidade_preco</t>
  </si>
  <si>
    <t>kg</t>
  </si>
  <si>
    <t>preço por kilogramo</t>
  </si>
  <si>
    <t>preço por 4 peixes</t>
  </si>
  <si>
    <t>preço por 5 peixes</t>
  </si>
  <si>
    <t>select_one unidade_preco</t>
  </si>
  <si>
    <t>choice_filter</t>
  </si>
  <si>
    <t>Barbudo de fundo</t>
  </si>
  <si>
    <t>Bica</t>
  </si>
  <si>
    <t>Cavala</t>
  </si>
  <si>
    <t>Cherne</t>
  </si>
  <si>
    <t>Cocovado</t>
  </si>
  <si>
    <t>Colombeta</t>
  </si>
  <si>
    <t>Maxipombo</t>
  </si>
  <si>
    <t>Olho grosso</t>
  </si>
  <si>
    <t>Osso mole</t>
  </si>
  <si>
    <t>Pargo</t>
  </si>
  <si>
    <t>Peixe andala</t>
  </si>
  <si>
    <t>Peixe fumo</t>
  </si>
  <si>
    <t>Peixe novo</t>
  </si>
  <si>
    <t>Peixe porco</t>
  </si>
  <si>
    <t>Polvo</t>
  </si>
  <si>
    <t>Roncador</t>
  </si>
  <si>
    <t>Vermelho sangue</t>
  </si>
  <si>
    <t>Mulato</t>
  </si>
  <si>
    <t>Hora de saida para o mar</t>
  </si>
  <si>
    <t>Este preço é por:</t>
  </si>
  <si>
    <t>Carapau / garapau</t>
  </si>
  <si>
    <t>Bonito / bunito</t>
  </si>
  <si>
    <t>Choco</t>
  </si>
  <si>
    <t>Alichote / alixote / pescada</t>
  </si>
  <si>
    <t>Vermelho fundo / Vermelho de fundo</t>
  </si>
  <si>
    <t>Vermelho terra / vermelho de terra</t>
  </si>
  <si>
    <t>Barracuda / Baracuda</t>
  </si>
  <si>
    <t>Agulha espada</t>
  </si>
  <si>
    <t>Peixe Serra / Peixe cera</t>
  </si>
  <si>
    <t>Asno de fundo</t>
  </si>
  <si>
    <t>Bobô quemá / Garoupa Vermelha</t>
  </si>
  <si>
    <t>Bacalhau</t>
  </si>
  <si>
    <t>Columpiam balabo</t>
  </si>
  <si>
    <t>raia</t>
  </si>
  <si>
    <t>Asno preto</t>
  </si>
  <si>
    <t>preço por 3 peixes</t>
  </si>
  <si>
    <t>Coelho / Peixe coelho</t>
  </si>
  <si>
    <t>CHOCO</t>
  </si>
  <si>
    <t>Concom / Concon</t>
  </si>
  <si>
    <t>Sabonete / Salmonete</t>
  </si>
  <si>
    <t>Corvina preta / Curvina preta</t>
  </si>
  <si>
    <t>Apanhou algum peixe?</t>
  </si>
  <si>
    <t>Marcar tipo de peixe</t>
  </si>
  <si>
    <t>image</t>
  </si>
  <si>
    <t>material</t>
  </si>
  <si>
    <t>proprio</t>
  </si>
  <si>
    <t>outra-pessoa</t>
  </si>
  <si>
    <t>preço por 1 peixes</t>
  </si>
  <si>
    <t>preço por 2 peixes</t>
  </si>
  <si>
    <t>preço por 6 peixes</t>
  </si>
  <si>
    <t>preço por 7 peixes</t>
  </si>
  <si>
    <t>preço por 8 peixes</t>
  </si>
  <si>
    <t>preço por 9 peixes</t>
  </si>
  <si>
    <t>preço por 10 peixes</t>
  </si>
  <si>
    <t>Cozinheiro</t>
  </si>
  <si>
    <t>problemas</t>
  </si>
  <si>
    <t>nenhum</t>
  </si>
  <si>
    <t>avaria</t>
  </si>
  <si>
    <t>material-perdeu</t>
  </si>
  <si>
    <t>Nenhum problema</t>
  </si>
  <si>
    <t>O motor avariou</t>
  </si>
  <si>
    <t>O material de pesca perdeu no mar</t>
  </si>
  <si>
    <t>Caqui</t>
  </si>
  <si>
    <t>acidente</t>
  </si>
  <si>
    <t>Acidente</t>
  </si>
  <si>
    <t>Outro problema</t>
  </si>
  <si>
    <t>outro_problema</t>
  </si>
  <si>
    <t>Badejo</t>
  </si>
  <si>
    <t>Corvinete / Curvinete  / corvina vermelha</t>
  </si>
  <si>
    <t>label</t>
  </si>
  <si>
    <t>Glopim / Garopa / Garropa / Garoupa</t>
  </si>
  <si>
    <t>Porto Alegre</t>
  </si>
  <si>
    <t>Malanza</t>
  </si>
  <si>
    <t>Monte Mário</t>
  </si>
  <si>
    <t>Ribeira Afonso</t>
  </si>
  <si>
    <t>Angolares</t>
  </si>
  <si>
    <t>Ribeira Peixe</t>
  </si>
  <si>
    <t>Praia Pesqueira</t>
  </si>
  <si>
    <t>Angra Toldo</t>
  </si>
  <si>
    <t>angolares</t>
  </si>
  <si>
    <t>malanza</t>
  </si>
  <si>
    <t>Iô Grande</t>
  </si>
  <si>
    <t>Asno oceánico / asno mambo</t>
  </si>
  <si>
    <t>Asno galinha / asno terra</t>
  </si>
  <si>
    <t>Atum oledê / Flogo</t>
  </si>
  <si>
    <t>Vermelho dente / mamaminha</t>
  </si>
  <si>
    <t>Bulhão papagaio / bulhao papagaio</t>
  </si>
  <si>
    <t>Bulhão papagaio/ bulhao papagaio</t>
  </si>
  <si>
    <t>Cangá / canga</t>
  </si>
  <si>
    <t>Capitão / capitao</t>
  </si>
  <si>
    <t>colobô / colobo / cota-ué / cota ue / garopa preta / garropa</t>
  </si>
  <si>
    <t>compact-2</t>
  </si>
  <si>
    <t>Moreia ronca / morreia / moreia de pedra / moreia carronca / mureia carronca</t>
  </si>
  <si>
    <t>Mero / garoupa / garropa / garopa / mero de baia</t>
  </si>
  <si>
    <t>SUBMARINO</t>
  </si>
  <si>
    <t>select_multiple uso</t>
  </si>
  <si>
    <t>uso</t>
  </si>
  <si>
    <t>venda</t>
  </si>
  <si>
    <t>Moreia pintada / morreia mapinta / mureia mapinta / murreia pintada</t>
  </si>
  <si>
    <t>Agulha buzina</t>
  </si>
  <si>
    <t>Odjita / mae de caqui / Mãe de caqui / bobonté / bobonte maputú maputu</t>
  </si>
  <si>
    <t>Cozinheiro de rio</t>
  </si>
  <si>
    <t>Peixe azeite / Xereu de fundo / Chereu de fundo / sele de fundo</t>
  </si>
  <si>
    <t>peixe  sol / messolo / vermelho sol</t>
  </si>
  <si>
    <t>vermelho sol de pedra / vermelho sol de fundo / peixe sol de pedra / peixe sol de fundo</t>
  </si>
  <si>
    <t>Pata pata</t>
  </si>
  <si>
    <t>Corvina de caça / Curvina de caca</t>
  </si>
  <si>
    <t>Fulu fulu / Fulufulo / Fulufulu / fulofulo rebola</t>
  </si>
  <si>
    <t>Fulu fulu / Fulufulo / Fulufulu / fulofulo batido / fulu fulu karaté</t>
  </si>
  <si>
    <t>Sardinha</t>
  </si>
  <si>
    <t>allow_choice_duplicates</t>
  </si>
  <si>
    <t>Osso mole de fundo / cocovado preto / cocovado de fundo / cocovado fundo</t>
  </si>
  <si>
    <t>Peixe prata / papule / pampule</t>
  </si>
  <si>
    <t>ALICHOTE</t>
  </si>
  <si>
    <t>ATUM</t>
  </si>
  <si>
    <t>BACALHAU</t>
  </si>
  <si>
    <t>BADEJO</t>
  </si>
  <si>
    <t>BARBUDO</t>
  </si>
  <si>
    <t>BARRACUDA</t>
  </si>
  <si>
    <t>BICA</t>
  </si>
  <si>
    <t>BONITO</t>
  </si>
  <si>
    <t>CANGA</t>
  </si>
  <si>
    <t>CAPITAO</t>
  </si>
  <si>
    <t>CAQUI</t>
  </si>
  <si>
    <t>CARAPAU</t>
  </si>
  <si>
    <t>CAVALA</t>
  </si>
  <si>
    <t>CHERNE</t>
  </si>
  <si>
    <t>COCOVADO</t>
  </si>
  <si>
    <t>COELHO</t>
  </si>
  <si>
    <t>COLOMBETA</t>
  </si>
  <si>
    <t>CONCOM</t>
  </si>
  <si>
    <t>COZINHEIRO</t>
  </si>
  <si>
    <t>ESTROMBA</t>
  </si>
  <si>
    <t>FUNHE</t>
  </si>
  <si>
    <t>COLOBO</t>
  </si>
  <si>
    <t>GLOPIM</t>
  </si>
  <si>
    <t>MERO</t>
  </si>
  <si>
    <t>LINGUADO</t>
  </si>
  <si>
    <t>MAXIPOMBO</t>
  </si>
  <si>
    <t>MULATO</t>
  </si>
  <si>
    <t>PARGO</t>
  </si>
  <si>
    <t>PAMPULE</t>
  </si>
  <si>
    <t>POLVO</t>
  </si>
  <si>
    <t>RAIA</t>
  </si>
  <si>
    <t>RONCADOR</t>
  </si>
  <si>
    <t>SARDINHA</t>
  </si>
  <si>
    <t>SINTRA</t>
  </si>
  <si>
    <t>VOADOR-PANHA</t>
  </si>
  <si>
    <t>Colombeta cavede</t>
  </si>
  <si>
    <t>DADOS DE PESCA</t>
  </si>
  <si>
    <t>Quantos pescadores ou submarinos foram para a pesca?</t>
  </si>
  <si>
    <t>Tubarão de areia / tubarao de areia</t>
  </si>
  <si>
    <t>Sopa</t>
  </si>
  <si>
    <t>Voador / vuador / vador</t>
  </si>
  <si>
    <t>calculate</t>
  </si>
  <si>
    <t>calculation</t>
  </si>
  <si>
    <t>sao-pedro</t>
  </si>
  <si>
    <t>buzio do mar</t>
  </si>
  <si>
    <t>Roncador de fundo / Roncador fundo / barbudo fundo / barbudo de fundo</t>
  </si>
  <si>
    <t>Cobra marinha / moreia / morreia / mureia / moreia concom</t>
  </si>
  <si>
    <t>LAGOSTA</t>
  </si>
  <si>
    <t>CAVACO</t>
  </si>
  <si>
    <t>MALAGUETA</t>
  </si>
  <si>
    <t>malagueta</t>
  </si>
  <si>
    <t>RAINHA2</t>
  </si>
  <si>
    <t>LAINHA</t>
  </si>
  <si>
    <t>rainha</t>
  </si>
  <si>
    <t>rainha / lainha</t>
  </si>
  <si>
    <t>PEIXE CABRA</t>
  </si>
  <si>
    <t>instance_name</t>
  </si>
  <si>
    <t>salga</t>
  </si>
  <si>
    <t>BONGA</t>
  </si>
  <si>
    <t>bonga</t>
  </si>
  <si>
    <t>moreia tropa</t>
  </si>
  <si>
    <t>BLONZE</t>
  </si>
  <si>
    <t>select_one ilha</t>
  </si>
  <si>
    <t>ilha</t>
  </si>
  <si>
    <t>Ilha</t>
  </si>
  <si>
    <t>principe</t>
  </si>
  <si>
    <t>saotome</t>
  </si>
  <si>
    <t>Príncipe</t>
  </si>
  <si>
    <t>São Tomé</t>
  </si>
  <si>
    <t>hora</t>
  </si>
  <si>
    <t>prao</t>
  </si>
  <si>
    <t>Tipo de propulsão</t>
  </si>
  <si>
    <t>remo</t>
  </si>
  <si>
    <t>vela</t>
  </si>
  <si>
    <t>motor</t>
  </si>
  <si>
    <t>apanhou-peixe</t>
  </si>
  <si>
    <t>especie</t>
  </si>
  <si>
    <t>embarcacao</t>
  </si>
  <si>
    <t>propulsao</t>
  </si>
  <si>
    <t>begin repeat</t>
  </si>
  <si>
    <t>repeat_count</t>
  </si>
  <si>
    <t>select_one embarcacao</t>
  </si>
  <si>
    <t>canoa</t>
  </si>
  <si>
    <t>peso</t>
  </si>
  <si>
    <t>numero</t>
  </si>
  <si>
    <t>preco</t>
  </si>
  <si>
    <t>end repeat</t>
  </si>
  <si>
    <t>concat('dados-pesca_',${hora})</t>
  </si>
  <si>
    <t>style</t>
  </si>
  <si>
    <t>pages</t>
  </si>
  <si>
    <t>unidade-preco</t>
  </si>
  <si>
    <t>tipo-combustivel</t>
  </si>
  <si>
    <t>gasolina</t>
  </si>
  <si>
    <t>petroleo</t>
  </si>
  <si>
    <t>Gasolina</t>
  </si>
  <si>
    <t>Petróleo</t>
  </si>
  <si>
    <t>arte</t>
  </si>
  <si>
    <t xml:space="preserve"> Remo</t>
  </si>
  <si>
    <t xml:space="preserve"> Vela</t>
  </si>
  <si>
    <t xml:space="preserve"> Motor</t>
  </si>
  <si>
    <t xml:space="preserve"> Material próprio</t>
  </si>
  <si>
    <t xml:space="preserve"> Material de outra pessoa</t>
  </si>
  <si>
    <t>bistp</t>
  </si>
  <si>
    <t>Ponte BISTP</t>
  </si>
  <si>
    <t>agua.grande</t>
  </si>
  <si>
    <t>pantufo</t>
  </si>
  <si>
    <t>Pantufo</t>
  </si>
  <si>
    <t>praia.cruz</t>
  </si>
  <si>
    <t>Praia Cruz</t>
  </si>
  <si>
    <t>praia.gamboa</t>
  </si>
  <si>
    <t>Praia Gamboa</t>
  </si>
  <si>
    <t>praia.loxinga</t>
  </si>
  <si>
    <t>Praia Loxinga</t>
  </si>
  <si>
    <t>sao.pedro</t>
  </si>
  <si>
    <t>São Pedro</t>
  </si>
  <si>
    <t>almoxarife</t>
  </si>
  <si>
    <t>Almoxarife</t>
  </si>
  <si>
    <t>cantagalo</t>
  </si>
  <si>
    <t>cova.agua</t>
  </si>
  <si>
    <t>Cova Água</t>
  </si>
  <si>
    <t>messias.alves</t>
  </si>
  <si>
    <t>Messias Alves</t>
  </si>
  <si>
    <t>plano.agua.ize</t>
  </si>
  <si>
    <t>Plano de Água Izé</t>
  </si>
  <si>
    <t>ribeira.afonso</t>
  </si>
  <si>
    <t>caue</t>
  </si>
  <si>
    <t>angra.toldo</t>
  </si>
  <si>
    <t>monte.mario</t>
  </si>
  <si>
    <t>porto.alegre</t>
  </si>
  <si>
    <t>praia.pesqueira</t>
  </si>
  <si>
    <t>ribeira.peixe</t>
  </si>
  <si>
    <t>rolas</t>
  </si>
  <si>
    <t>Ilhéu Rolas</t>
  </si>
  <si>
    <t>yo.grande</t>
  </si>
  <si>
    <t>agua.toma</t>
  </si>
  <si>
    <t>Água Tomá</t>
  </si>
  <si>
    <t>lemba</t>
  </si>
  <si>
    <t>benga</t>
  </si>
  <si>
    <t>Benga</t>
  </si>
  <si>
    <t>esprainha.praia</t>
  </si>
  <si>
    <t>Esprainha</t>
  </si>
  <si>
    <t>paga.fogo</t>
  </si>
  <si>
    <t>Paga Fogo</t>
  </si>
  <si>
    <t>ponta.figo</t>
  </si>
  <si>
    <t>Ponta Figo</t>
  </si>
  <si>
    <t>praia.brita</t>
  </si>
  <si>
    <t>Praia Brita</t>
  </si>
  <si>
    <t>praia.planca</t>
  </si>
  <si>
    <t>Praia Planca</t>
  </si>
  <si>
    <t>ribeira.palma</t>
  </si>
  <si>
    <t>Ribeira Palma</t>
  </si>
  <si>
    <t>rosema</t>
  </si>
  <si>
    <t>Rosema</t>
  </si>
  <si>
    <t>santa.catarina</t>
  </si>
  <si>
    <t>Santa Catarina</t>
  </si>
  <si>
    <t>fernao.dias</t>
  </si>
  <si>
    <t>Fernão Dias</t>
  </si>
  <si>
    <t>lobata</t>
  </si>
  <si>
    <t>micolo</t>
  </si>
  <si>
    <t>Micoló</t>
  </si>
  <si>
    <t>morro.peixe</t>
  </si>
  <si>
    <t>Morro Peixe</t>
  </si>
  <si>
    <t>praia15</t>
  </si>
  <si>
    <t>Praia 15</t>
  </si>
  <si>
    <t>praia.melao</t>
  </si>
  <si>
    <t>Praia Melão</t>
  </si>
  <si>
    <t>me.zoxi</t>
  </si>
  <si>
    <t>abade</t>
  </si>
  <si>
    <t>Abade</t>
  </si>
  <si>
    <t>pague</t>
  </si>
  <si>
    <t>capitania</t>
  </si>
  <si>
    <t>Capitania</t>
  </si>
  <si>
    <t>concom</t>
  </si>
  <si>
    <t>Concom</t>
  </si>
  <si>
    <t>esprainha</t>
  </si>
  <si>
    <t>praia.abelha</t>
  </si>
  <si>
    <t>Praia Abelha</t>
  </si>
  <si>
    <t>praia.burra</t>
  </si>
  <si>
    <t>Praia Burra</t>
  </si>
  <si>
    <t>praia.caixao</t>
  </si>
  <si>
    <t>Praia Caixão</t>
  </si>
  <si>
    <t>praia.campanha</t>
  </si>
  <si>
    <t>Praia Campanha</t>
  </si>
  <si>
    <t>praia.iola</t>
  </si>
  <si>
    <t>Praia Iola</t>
  </si>
  <si>
    <t>praia.lapa</t>
  </si>
  <si>
    <t>Praia Lapa</t>
  </si>
  <si>
    <t>praia.seabra</t>
  </si>
  <si>
    <t>Praia Seabra</t>
  </si>
  <si>
    <t>praia.seca</t>
  </si>
  <si>
    <t>Praia Seca</t>
  </si>
  <si>
    <t>praia.sundy</t>
  </si>
  <si>
    <t>Praia Sundy</t>
  </si>
  <si>
    <t>ribeira.ize</t>
  </si>
  <si>
    <t>Ribeira Ize</t>
  </si>
  <si>
    <t>santo.antonio</t>
  </si>
  <si>
    <t>Santo António</t>
  </si>
  <si>
    <t>sao.joao</t>
  </si>
  <si>
    <t>São João</t>
  </si>
  <si>
    <t>sao.pedro.principe</t>
  </si>
  <si>
    <t>São Pedro (Água Namoro)</t>
  </si>
  <si>
    <t>comunidade</t>
  </si>
  <si>
    <t>distrito</t>
  </si>
  <si>
    <t>Caué</t>
  </si>
  <si>
    <t>Cantagalo</t>
  </si>
  <si>
    <t>Mé-Zoxi</t>
  </si>
  <si>
    <t>Água Grande</t>
  </si>
  <si>
    <t>Lobata</t>
  </si>
  <si>
    <t xml:space="preserve">Lembá </t>
  </si>
  <si>
    <t>Pagué (Região Autónoma do Príncipe)</t>
  </si>
  <si>
    <t>inquiridor</t>
  </si>
  <si>
    <t>select_one comunidade</t>
  </si>
  <si>
    <t>select_one distrito</t>
  </si>
  <si>
    <t>Distrito</t>
  </si>
  <si>
    <t>Nome do/a inquiridor/a</t>
  </si>
  <si>
    <t>Hora de chegada da embarcação</t>
  </si>
  <si>
    <t>Scyllaridae</t>
  </si>
  <si>
    <t>Gastropoda</t>
  </si>
  <si>
    <t>select_one arte</t>
  </si>
  <si>
    <t>dp</t>
  </si>
  <si>
    <t>select_multiple problemas</t>
  </si>
  <si>
    <t>O pescador teve algum problema durante a pesca?</t>
  </si>
  <si>
    <t>deviceid</t>
  </si>
  <si>
    <t>DEVICEID</t>
  </si>
  <si>
    <t>BUZIO DO MAR</t>
  </si>
  <si>
    <t>AGULHA BUZINA</t>
  </si>
  <si>
    <t>AGULHA ESPADA</t>
  </si>
  <si>
    <t>AGULHA QUIO</t>
  </si>
  <si>
    <t>ASNO FUNDO</t>
  </si>
  <si>
    <t>ASNO LAMINA</t>
  </si>
  <si>
    <t>ASNO MAMBO</t>
  </si>
  <si>
    <t>ASNO PRETO</t>
  </si>
  <si>
    <t>ASNO TERRA</t>
  </si>
  <si>
    <t>ASNO LEMBE LEMBE</t>
  </si>
  <si>
    <t>ATUM OLEDE</t>
  </si>
  <si>
    <t>RONCADOR DE FUNDO</t>
  </si>
  <si>
    <t>BULHAO BICA</t>
  </si>
  <si>
    <t>BULHAO PAPAGAIO</t>
  </si>
  <si>
    <t>CAZE BUDU</t>
  </si>
  <si>
    <t>CAQUI DE PEDRA</t>
  </si>
  <si>
    <t>MAE CAQUI</t>
  </si>
  <si>
    <t>OLHO GROSSO</t>
  </si>
  <si>
    <t>COCOVADO DE FUNDO</t>
  </si>
  <si>
    <t>COLOMBETA CAVEDE</t>
  </si>
  <si>
    <t>COLUMPIAM BALABO</t>
  </si>
  <si>
    <t>COME MOLE</t>
  </si>
  <si>
    <t>CORVINA DE CACA</t>
  </si>
  <si>
    <t>CORVINA VERMELHA</t>
  </si>
  <si>
    <t>CORVINA PRETA</t>
  </si>
  <si>
    <t>COZINHEIRO DE RIO</t>
  </si>
  <si>
    <t>FULU FULU REBOLA</t>
  </si>
  <si>
    <t>FULU FULU BATIDO</t>
  </si>
  <si>
    <t>BOBO QUEMA</t>
  </si>
  <si>
    <t>MOREIA TROPA</t>
  </si>
  <si>
    <t>MOREIA CARRONCA</t>
  </si>
  <si>
    <t>MOREIA MAPINTA</t>
  </si>
  <si>
    <t>MOREIA DE TERRA</t>
  </si>
  <si>
    <t>COBRA MARINHA</t>
  </si>
  <si>
    <t>OSSO MOLE</t>
  </si>
  <si>
    <t>PATA PATA</t>
  </si>
  <si>
    <t>PEIXE ANDALA</t>
  </si>
  <si>
    <t>PEIXE AZEITE</t>
  </si>
  <si>
    <t>PEIXE FUMO</t>
  </si>
  <si>
    <t>PEIXE NOVO</t>
  </si>
  <si>
    <t>PEIXE PORCO</t>
  </si>
  <si>
    <t>PEIXE SERRA</t>
  </si>
  <si>
    <t>UZUA MANTA</t>
  </si>
  <si>
    <t>SABONETE VERMELHO</t>
  </si>
  <si>
    <t>TUBARAO MARTELO</t>
  </si>
  <si>
    <t>VERMELHO SOL</t>
  </si>
  <si>
    <t>VERMELHO SOL DE FUNDO</t>
  </si>
  <si>
    <t>VERMELHO DENTE</t>
  </si>
  <si>
    <t>VERMELHO FUNDO</t>
  </si>
  <si>
    <t>VERMELHO SANGUE</t>
  </si>
  <si>
    <t>VERMELHO TERRA</t>
  </si>
  <si>
    <t>selected(${ilha},'saotome')</t>
  </si>
  <si>
    <t>numero-registo</t>
  </si>
  <si>
    <t>data-saida</t>
  </si>
  <si>
    <t>select_one tipo-embarcacao</t>
  </si>
  <si>
    <t>tipo-embarcacao</t>
  </si>
  <si>
    <t>Qual é o tipo de embarcação?</t>
  </si>
  <si>
    <t>artesanal</t>
  </si>
  <si>
    <t>semiindustrial</t>
  </si>
  <si>
    <t>tipoembarcacao</t>
  </si>
  <si>
    <t>carioco</t>
  </si>
  <si>
    <t>trainera</t>
  </si>
  <si>
    <t>Carioco</t>
  </si>
  <si>
    <t>Trainera</t>
  </si>
  <si>
    <t>Data de saida para o mar</t>
  </si>
  <si>
    <t>arteilha</t>
  </si>
  <si>
    <t>tipopesca</t>
  </si>
  <si>
    <t>nomelocal</t>
  </si>
  <si>
    <t>Tchintchin, Thinthe</t>
  </si>
  <si>
    <t>TCHINTCHIN</t>
  </si>
  <si>
    <t>Impinho</t>
  </si>
  <si>
    <t>IMPINHO</t>
  </si>
  <si>
    <t>asno lamina Asno lámina asno laceta asno navalha</t>
  </si>
  <si>
    <t>Asno preguiçoso / Asno preguiçosa / asno lembe-lembe / asno lembe lembe / asno chupa chupa / asno xupa xupa / asno buceta</t>
  </si>
  <si>
    <t>Asno buceta</t>
  </si>
  <si>
    <t>ASNO BUCETA</t>
  </si>
  <si>
    <t>Peixe pedra</t>
  </si>
  <si>
    <t>PEIXE PEDRA</t>
  </si>
  <si>
    <t xml:space="preserve">Ue nguené nguené / vermelho / peixe sol / vermelho sol / ue nguene nguene </t>
  </si>
  <si>
    <t>OLHO LENTE</t>
  </si>
  <si>
    <t>Bulhão bica bulhao bica</t>
  </si>
  <si>
    <t>Lingualaz / Linguado / linguale / lingulage</t>
  </si>
  <si>
    <t>Peixe cabra</t>
  </si>
  <si>
    <t>Asno pego</t>
  </si>
  <si>
    <t>ASNO PEGO</t>
  </si>
  <si>
    <t>concom de fundo</t>
  </si>
  <si>
    <t>CONCOM DE FUNDO</t>
  </si>
  <si>
    <t>bubu</t>
  </si>
  <si>
    <t>BUBU</t>
  </si>
  <si>
    <t>Capataz de rocha / caze budu / fode burro</t>
  </si>
  <si>
    <t>RAINHA</t>
  </si>
  <si>
    <t>PEIXE VOADOR</t>
  </si>
  <si>
    <t>Barbudo</t>
  </si>
  <si>
    <t>TUBARAO DE AREIA</t>
  </si>
  <si>
    <t>Tchintchin</t>
  </si>
  <si>
    <t>SOPA DE FUNDO</t>
  </si>
  <si>
    <t>Tchintchin de fundo, Tchintchin pego</t>
  </si>
  <si>
    <t>TCHINTCHIN PEGO</t>
  </si>
  <si>
    <t>Corvina preta / Curvina preta male anguene</t>
  </si>
  <si>
    <t>Raia / uzua manta</t>
  </si>
  <si>
    <t>Tainha</t>
  </si>
  <si>
    <t>TAINHA</t>
  </si>
  <si>
    <t>Garopa / Mero / Garoupa / Garropa / Murianga</t>
  </si>
  <si>
    <t>MURIANGA</t>
  </si>
  <si>
    <t>BARBUDO DE FUNDO</t>
  </si>
  <si>
    <t>Bujigo</t>
  </si>
  <si>
    <t>BUJIGO</t>
  </si>
  <si>
    <t>Funhé / Peixe  sabão / peixe sabao</t>
  </si>
  <si>
    <t>Atum fogo</t>
  </si>
  <si>
    <t>Agulha quiô / Agulha quio / Zanvé</t>
  </si>
  <si>
    <t>Coelho branco</t>
  </si>
  <si>
    <t>COELHO BRANCO</t>
  </si>
  <si>
    <t>Escolar</t>
  </si>
  <si>
    <t>ESCOLAR</t>
  </si>
  <si>
    <t>Escolar espada</t>
  </si>
  <si>
    <t>ESCOLAR ESPADA</t>
  </si>
  <si>
    <t>Coelho preto</t>
  </si>
  <si>
    <t>COELHO PRETO</t>
  </si>
  <si>
    <t>Peixe galo</t>
  </si>
  <si>
    <t>PEIXE GALO</t>
  </si>
  <si>
    <t>Peixe piloto</t>
  </si>
  <si>
    <t>PEIXE PILOTO</t>
  </si>
  <si>
    <t>Abrotea</t>
  </si>
  <si>
    <t>ABROTEA</t>
  </si>
  <si>
    <t>Linguado preto</t>
  </si>
  <si>
    <t>LINGUADO PRETO</t>
  </si>
  <si>
    <t>ASNO LACETA</t>
  </si>
  <si>
    <t>Peixe prata</t>
  </si>
  <si>
    <t>PEIXE PRATA</t>
  </si>
  <si>
    <t>ASNO PERGUICOSA</t>
  </si>
  <si>
    <t>Asno galinha</t>
  </si>
  <si>
    <t>ASNO GALINHA</t>
  </si>
  <si>
    <t xml:space="preserve">vermelho / peixe sol / vermelho sol / ue nguene nguene </t>
  </si>
  <si>
    <t>OLHO BRILHANTE</t>
  </si>
  <si>
    <t>Bulhão bulhao</t>
  </si>
  <si>
    <t>BULHAO</t>
  </si>
  <si>
    <t>LINGUALE</t>
  </si>
  <si>
    <t>Asno oceánico</t>
  </si>
  <si>
    <t>ASNO OCEANICO</t>
  </si>
  <si>
    <t>CHEREU</t>
  </si>
  <si>
    <t>Osso mole de fundo</t>
  </si>
  <si>
    <t>OSSO MOLE FUNDO</t>
  </si>
  <si>
    <t>Garopa preta / Garropa / cota ué</t>
  </si>
  <si>
    <t>GAROPA PRETA</t>
  </si>
  <si>
    <t>moreia broze / moreia bronze / moreia tropa</t>
  </si>
  <si>
    <t>MOREIA BRONZE</t>
  </si>
  <si>
    <t>CAPATAZ</t>
  </si>
  <si>
    <t>Besugo / busugo / buzugo</t>
  </si>
  <si>
    <t>BESUGO</t>
  </si>
  <si>
    <t>Alada / chumpa / xumpa / xupa</t>
  </si>
  <si>
    <t>MOREIA FULA</t>
  </si>
  <si>
    <t>Corvina caçadeira / Curvina caçadeira / corvina cacadeira</t>
  </si>
  <si>
    <t>CORVINA CACADEIRA</t>
  </si>
  <si>
    <t>Estromba</t>
  </si>
  <si>
    <t>Marfim / Raia</t>
  </si>
  <si>
    <t>MARFIM</t>
  </si>
  <si>
    <t>MOREIA PINTADA</t>
  </si>
  <si>
    <t>Moreia ronca / morreia / mureia ronca</t>
  </si>
  <si>
    <t>MOREIA RONCA</t>
  </si>
  <si>
    <t>Cobra marinha / moreia / morreia</t>
  </si>
  <si>
    <t>Odjita / Mãe de caqui</t>
  </si>
  <si>
    <t>MAE DE CAQUI</t>
  </si>
  <si>
    <t>Moreia de fundo / morreia fundo / m</t>
  </si>
  <si>
    <t>MOREIA FUNDO</t>
  </si>
  <si>
    <t>Roncador de fundo / Roncador fundo</t>
  </si>
  <si>
    <t>CAQUI DE FUNDO</t>
  </si>
  <si>
    <t>Peixe azeite / Xereu de fundo / Chereu de fundo</t>
  </si>
  <si>
    <t>Bulhão papagaio</t>
  </si>
  <si>
    <t>PESCADA</t>
  </si>
  <si>
    <t>Atum oledê</t>
  </si>
  <si>
    <t>ATUM FOGO</t>
  </si>
  <si>
    <t>spilha</t>
  </si>
  <si>
    <t>NAO-APANHOU</t>
  </si>
  <si>
    <t>NAO APANHOU</t>
  </si>
  <si>
    <t/>
  </si>
  <si>
    <t>OUTRO-PEIXE</t>
  </si>
  <si>
    <t>outro peixe</t>
  </si>
  <si>
    <t>OUTRO-PEIXEsaotome</t>
  </si>
  <si>
    <t>Ablennes-hianssaotome</t>
  </si>
  <si>
    <t>Abudefduf-saxatilissaotome</t>
  </si>
  <si>
    <t>Acanthocybium-solandrisaotome</t>
  </si>
  <si>
    <t>Acanthostracion-notacanthussaotome</t>
  </si>
  <si>
    <t>Acanthurus-monroviaesaotome</t>
  </si>
  <si>
    <t>Albula-vulpessaotome</t>
  </si>
  <si>
    <t>Alectis-alexandrinasaotome</t>
  </si>
  <si>
    <t>Aluterus-scriptussaotome</t>
  </si>
  <si>
    <t>Aluterus-heudelotiisaotome</t>
  </si>
  <si>
    <t>Antennarius-multiocellatussaotome</t>
  </si>
  <si>
    <t>Anthias-anthiassaotome</t>
  </si>
  <si>
    <t>Apsilus-fuscussaotome</t>
  </si>
  <si>
    <t>Auxis-thazardsaotome</t>
  </si>
  <si>
    <t>Balistes-capriscussaotome</t>
  </si>
  <si>
    <t>Balistes-punctatussaotome</t>
  </si>
  <si>
    <t>Beryx-decadactylussaotome</t>
  </si>
  <si>
    <t>Bodianus-speciosussaotome</t>
  </si>
  <si>
    <t>Boops-boopssaotome</t>
  </si>
  <si>
    <t>Bothus-lunatussaotome</t>
  </si>
  <si>
    <t>Bothus-podassaotome</t>
  </si>
  <si>
    <t>Branchiostegus-semifasciatussaotome</t>
  </si>
  <si>
    <t>Canthidermis-maculatasaotome</t>
  </si>
  <si>
    <t>Canthidermis-sufflamensaotome</t>
  </si>
  <si>
    <t>Caranx-bartholomaeisaotome</t>
  </si>
  <si>
    <t>Caranx-crysossaotome</t>
  </si>
  <si>
    <t>Caranx-hippossaotome</t>
  </si>
  <si>
    <t>Caranx-latussaotome</t>
  </si>
  <si>
    <t>Caranx-lugubrissaotome</t>
  </si>
  <si>
    <t>Cephalopholis-nigrisaotome</t>
  </si>
  <si>
    <t>Cephalopholis-taeniopssaotome</t>
  </si>
  <si>
    <t>Channomuraena-vittatasaotome</t>
  </si>
  <si>
    <t>Chelidonichthys-gabonensissaotome</t>
  </si>
  <si>
    <t>Chilomycterus-reticulatussaotome</t>
  </si>
  <si>
    <t>Cirrhitus-atlanticussaotome</t>
  </si>
  <si>
    <t>Coris-atlanticasaotome</t>
  </si>
  <si>
    <t>Coryphaena-equiselissaotome</t>
  </si>
  <si>
    <t>Coryphaena-hippurussaotome</t>
  </si>
  <si>
    <t>Dactylopterus-volitanssaotome</t>
  </si>
  <si>
    <t>Taeniurops-grabatussaotome</t>
  </si>
  <si>
    <t>Dentex-congoensissaotome</t>
  </si>
  <si>
    <t>Dentex-macrophthalmussaotome</t>
  </si>
  <si>
    <t>Drepane-africanasaotome</t>
  </si>
  <si>
    <t>Elagatis-bipinnulatasaotome</t>
  </si>
  <si>
    <t>Ephippus-goreensissaotome</t>
  </si>
  <si>
    <t>Epinephelus-adscensionissaotome</t>
  </si>
  <si>
    <t>Epinephelus-aeneussaotome</t>
  </si>
  <si>
    <t>Epinephelus-goreensissaotome</t>
  </si>
  <si>
    <t>Epinephelus-marginatussaotome</t>
  </si>
  <si>
    <t>Erythrocles-monodisaotome</t>
  </si>
  <si>
    <t>Euthynnus-alletteratussaotome</t>
  </si>
  <si>
    <t>Fistularia-tabacariasaotome</t>
  </si>
  <si>
    <t>Galeoides-decadactylussaotome</t>
  </si>
  <si>
    <t>Gastropodasaotome</t>
  </si>
  <si>
    <t>Ginglymostoma-cirratumsaotome</t>
  </si>
  <si>
    <t>Grammonus-longhurstisaotome</t>
  </si>
  <si>
    <t>Hemiramphus-balaosaotome</t>
  </si>
  <si>
    <t>Heteropriacanthus-cruentatussaotome</t>
  </si>
  <si>
    <t>Holacanthus-africanussaotome</t>
  </si>
  <si>
    <t>Holocentrus-adscensionissaotome</t>
  </si>
  <si>
    <t>Istiophorus-albicanssaotome</t>
  </si>
  <si>
    <t>Katsuwonus-pelamissaotome</t>
  </si>
  <si>
    <t>Lagocephalus-laevigatussaotome</t>
  </si>
  <si>
    <t>Lethrinus-atlanticussaotome</t>
  </si>
  <si>
    <t>Lobotes-surinamensissaotome</t>
  </si>
  <si>
    <t>Lutjanus-agennessaotome</t>
  </si>
  <si>
    <t>Lutjanus-endecacanthussaotome</t>
  </si>
  <si>
    <t>Lutjanus-fulgenssaotome</t>
  </si>
  <si>
    <t>Lutjanus-goreensissaotome</t>
  </si>
  <si>
    <t>Makaira-nigricanssaotome</t>
  </si>
  <si>
    <t>Melichthys-nigersaotome</t>
  </si>
  <si>
    <t>Mugil-cephalussaotome</t>
  </si>
  <si>
    <t>Mulloidichthys-martinicussaotome</t>
  </si>
  <si>
    <t>Mullus-surmuletussaotome</t>
  </si>
  <si>
    <t>Muraena-melanotissaotome</t>
  </si>
  <si>
    <t>Muraena-robustasaotome</t>
  </si>
  <si>
    <t>Mycteroperca-rubrasaotome</t>
  </si>
  <si>
    <t>Myrichthys-pardalissaotome</t>
  </si>
  <si>
    <t>Myripristis-jacobussaotome</t>
  </si>
  <si>
    <t>Ophichthus-rufussaotome</t>
  </si>
  <si>
    <t>Pagellus-bellottiisaotome</t>
  </si>
  <si>
    <t>Paranthias-furcifersaotome</t>
  </si>
  <si>
    <t>Plectorhinchus-macrolepissaotome</t>
  </si>
  <si>
    <t>Polymixia-nobilissaotome</t>
  </si>
  <si>
    <t>Polyprion-americanussaotome</t>
  </si>
  <si>
    <t>Pomadasys-incisussaotome</t>
  </si>
  <si>
    <t>Pomadasys-rogeriisaotome</t>
  </si>
  <si>
    <t>Pontinus-kuhliisaotome</t>
  </si>
  <si>
    <t>Priacanthus-arenatussaotome</t>
  </si>
  <si>
    <t>Pseudupeneus-prayensissaotome</t>
  </si>
  <si>
    <t>Rypticus-saponaceussaotome</t>
  </si>
  <si>
    <t>Sargocentron-hastatumsaotome</t>
  </si>
  <si>
    <t>Scarus-hoeflerisaotome</t>
  </si>
  <si>
    <t>Scomberomorus-tritorsaotome</t>
  </si>
  <si>
    <t>Scorpaena-laevissaotome</t>
  </si>
  <si>
    <t>Scyllaridaesaotome</t>
  </si>
  <si>
    <t>Selar-crumenophthalmussaotome</t>
  </si>
  <si>
    <t>Selene-dorsalissaotome</t>
  </si>
  <si>
    <t>Seriola-rivolianasaotome</t>
  </si>
  <si>
    <t>Sparisoma-choatisaotome</t>
  </si>
  <si>
    <t>Sphyraena-barracudasaotome</t>
  </si>
  <si>
    <t>Sphyraena-sphyraenasaotome</t>
  </si>
  <si>
    <t>Sphyrna-lewinisaotome</t>
  </si>
  <si>
    <t>Hypanus-rudissaotome</t>
  </si>
  <si>
    <t>Thalassoma-newtonisaotome</t>
  </si>
  <si>
    <t>Thunnus-albacaressaotome</t>
  </si>
  <si>
    <t>Thunnus-obesussaotome</t>
  </si>
  <si>
    <t>Trachinotus-goreensissaotome</t>
  </si>
  <si>
    <t>Trachinotus-ovatussaotome</t>
  </si>
  <si>
    <t>Umbrina-cirrosasaotome</t>
  </si>
  <si>
    <t>Uraspis-secundasaotome</t>
  </si>
  <si>
    <t>Xyrichtys-novaculasaotome</t>
  </si>
  <si>
    <t>Sphoeroides-pachygastersaotome</t>
  </si>
  <si>
    <t>Lepidocybium-flavobrunneumsaotome</t>
  </si>
  <si>
    <t>Promethichthys-prometheussaotome</t>
  </si>
  <si>
    <t>Lagocephalus-lagocephalussaotome</t>
  </si>
  <si>
    <t>Zeus-fabersaotome</t>
  </si>
  <si>
    <t>Naucrates-ductorsaotome</t>
  </si>
  <si>
    <t>Psettodes-belcherisaotome</t>
  </si>
  <si>
    <t>Umbrina-canariensissaotome</t>
  </si>
  <si>
    <t>OUTRO-PEIXEprincipe</t>
  </si>
  <si>
    <t>Ablennes-hiansprincipe</t>
  </si>
  <si>
    <t>Abudefduf-saxatilisprincipe</t>
  </si>
  <si>
    <t>Acanthocybium-solandriprincipe</t>
  </si>
  <si>
    <t>Acanthostracion-notacanthusprincipe</t>
  </si>
  <si>
    <t>Acanthurus-monroviaeprincipe</t>
  </si>
  <si>
    <t>Albula-vulpesprincipe</t>
  </si>
  <si>
    <t>Alectis-alexandrinaprincipe</t>
  </si>
  <si>
    <t>Aluterus-scriptusprincipe</t>
  </si>
  <si>
    <t>Aluterus-heudelotiiprincipe</t>
  </si>
  <si>
    <t>Antennarius-multiocellatusprincipe</t>
  </si>
  <si>
    <t>Anthias-anthiasprincipe</t>
  </si>
  <si>
    <t>Apsilus-fuscusprincipe</t>
  </si>
  <si>
    <t>Auxis-thazardprincipe</t>
  </si>
  <si>
    <t>Balistes-capriscusprincipe</t>
  </si>
  <si>
    <t>Balistes-punctatusprincipe</t>
  </si>
  <si>
    <t>Beryx-decadactylusprincipe</t>
  </si>
  <si>
    <t>Bodianus-speciosusprincipe</t>
  </si>
  <si>
    <t>Boops-boopsprincipe</t>
  </si>
  <si>
    <t>Bothus-lunatusprincipe</t>
  </si>
  <si>
    <t>Bothus-podasprincipe</t>
  </si>
  <si>
    <t>Branchiostegus-semifasciatusprincipe</t>
  </si>
  <si>
    <t>Canthidermis-maculataprincipe</t>
  </si>
  <si>
    <t>Canthidermis-sufflamenprincipe</t>
  </si>
  <si>
    <t>Caranx-bartholomaeiprincipe</t>
  </si>
  <si>
    <t>Caranx-crysosprincipe</t>
  </si>
  <si>
    <t>Caranx-hipposprincipe</t>
  </si>
  <si>
    <t>Caranx-latusprincipe</t>
  </si>
  <si>
    <t>Caranx-lugubrisprincipe</t>
  </si>
  <si>
    <t>Cephalopholis-nigriprincipe</t>
  </si>
  <si>
    <t>Cephalopholis-taeniopsprincipe</t>
  </si>
  <si>
    <t>Channomuraena-vittataprincipe</t>
  </si>
  <si>
    <t>Chelidonichthys-gabonensisprincipe</t>
  </si>
  <si>
    <t>Chilomycterus-reticulatusprincipe</t>
  </si>
  <si>
    <t>Cirrhitus-atlanticusprincipe</t>
  </si>
  <si>
    <t>Coris-atlanticaprincipe</t>
  </si>
  <si>
    <t>Coryphaena-equiselisprincipe</t>
  </si>
  <si>
    <t>Coryphaena-hippurusprincipe</t>
  </si>
  <si>
    <t>Dactylopterus-volitansprincipe</t>
  </si>
  <si>
    <t>Taeniurops-grabatusprincipe</t>
  </si>
  <si>
    <t>Dentex-congoensisprincipe</t>
  </si>
  <si>
    <t>Dentex-macrophthalmusprincipe</t>
  </si>
  <si>
    <t>Drepane-africanaprincipe</t>
  </si>
  <si>
    <t>Elagatis-bipinnulataprincipe</t>
  </si>
  <si>
    <t>Ephippus-goreensisprincipe</t>
  </si>
  <si>
    <t>Epinephelus-adscensionisprincipe</t>
  </si>
  <si>
    <t>Epinephelus-aeneusprincipe</t>
  </si>
  <si>
    <t>Epinephelus-goreensisprincipe</t>
  </si>
  <si>
    <t>Epinephelus-marginatusprincipe</t>
  </si>
  <si>
    <t>Erythrocles-monodiprincipe</t>
  </si>
  <si>
    <t>Euthynnus-alletteratusprincipe</t>
  </si>
  <si>
    <t>Fistularia-tabacariaprincipe</t>
  </si>
  <si>
    <t>Galeoides-decadactylusprincipe</t>
  </si>
  <si>
    <t>Gastropodaprincipe</t>
  </si>
  <si>
    <t>Ginglymostoma-cirratumprincipe</t>
  </si>
  <si>
    <t>Grammonus-longhurstiprincipe</t>
  </si>
  <si>
    <t>Hemiramphus-balaoprincipe</t>
  </si>
  <si>
    <t>Heteropriacanthus-cruentatusprincipe</t>
  </si>
  <si>
    <t>Holacanthus-africanusprincipe</t>
  </si>
  <si>
    <t>Holocentrus-adscensionisprincipe</t>
  </si>
  <si>
    <t>Istiophorus-albicansprincipe</t>
  </si>
  <si>
    <t>Katsuwonus-pelamisprincipe</t>
  </si>
  <si>
    <t>Lagocephalus-laevigatusprincipe</t>
  </si>
  <si>
    <t>Lethrinus-atlanticusprincipe</t>
  </si>
  <si>
    <t>Lobotes-surinamensisprincipe</t>
  </si>
  <si>
    <t>Lutjanus-agennesprincipe</t>
  </si>
  <si>
    <t>Lutjanus-endecacanthusprincipe</t>
  </si>
  <si>
    <t>Lutjanus-fulgensprincipe</t>
  </si>
  <si>
    <t>Lutjanus-goreensisprincipe</t>
  </si>
  <si>
    <t>Makaira-nigricansprincipe</t>
  </si>
  <si>
    <t>Melichthys-nigerprincipe</t>
  </si>
  <si>
    <t>Mugil-cephalusprincipe</t>
  </si>
  <si>
    <t>Mulloidichthys-martinicusprincipe</t>
  </si>
  <si>
    <t>Mullus-surmuletusprincipe</t>
  </si>
  <si>
    <t>Muraena-melanotisprincipe</t>
  </si>
  <si>
    <t>Muraena-robustaprincipe</t>
  </si>
  <si>
    <t>Mycteroperca-rubraprincipe</t>
  </si>
  <si>
    <t>Myrichthys-pardalisprincipe</t>
  </si>
  <si>
    <t>Myripristis-jacobusprincipe</t>
  </si>
  <si>
    <t>Ophichthus-rufusprincipe</t>
  </si>
  <si>
    <t>Pagellus-bellottiiprincipe</t>
  </si>
  <si>
    <t>Paranthias-furciferprincipe</t>
  </si>
  <si>
    <t>Plectorhinchus-macrolepisprincipe</t>
  </si>
  <si>
    <t>Polymixia-nobilisprincipe</t>
  </si>
  <si>
    <t>Polyprion-americanusprincipe</t>
  </si>
  <si>
    <t>Pomadasys-incisusprincipe</t>
  </si>
  <si>
    <t>Pomadasys-rogeriiprincipe</t>
  </si>
  <si>
    <t>Pontinus-kuhliiprincipe</t>
  </si>
  <si>
    <t>Priacanthus-arenatusprincipe</t>
  </si>
  <si>
    <t>Pseudupeneus-prayensisprincipe</t>
  </si>
  <si>
    <t>Rypticus-saponaceusprincipe</t>
  </si>
  <si>
    <t>Sargocentron-hastatumprincipe</t>
  </si>
  <si>
    <t>Scarus-hoefleriprincipe</t>
  </si>
  <si>
    <t>Scomberomorus-tritorprincipe</t>
  </si>
  <si>
    <t>Scorpaena-laevisprincipe</t>
  </si>
  <si>
    <t>Scyllaridaeprincipe</t>
  </si>
  <si>
    <t>Selar-crumenophthalmusprincipe</t>
  </si>
  <si>
    <t>Selene-dorsalisprincipe</t>
  </si>
  <si>
    <t>Seriola-rivolianaprincipe</t>
  </si>
  <si>
    <t>Sparisoma-choatiprincipe</t>
  </si>
  <si>
    <t>Sphyraena-barracudaprincipe</t>
  </si>
  <si>
    <t>Sphyraena-sphyraenaprincipe</t>
  </si>
  <si>
    <t>Sphyrna-lewiniprincipe</t>
  </si>
  <si>
    <t>Hypanus-rudisprincipe</t>
  </si>
  <si>
    <t>Thalassoma-newtoniprincipe</t>
  </si>
  <si>
    <t>Thunnus-albacaresprincipe</t>
  </si>
  <si>
    <t>Thunnus-obesusprincipe</t>
  </si>
  <si>
    <t>Trachinotus-goreensisprincipe</t>
  </si>
  <si>
    <t>Trachinotus-ovatusprincipe</t>
  </si>
  <si>
    <t>Umbrina-cirrosaprincipe</t>
  </si>
  <si>
    <t>Uraspis-secundaprincipe</t>
  </si>
  <si>
    <t>Xyrichtys-novaculaprincipe</t>
  </si>
  <si>
    <t>Sphoeroides-pachygasterprincipe</t>
  </si>
  <si>
    <t>Lepidocybium-flavobrunneumprincipe</t>
  </si>
  <si>
    <t>Promethichthys-prometheusprincipe</t>
  </si>
  <si>
    <t>Lagocephalus-lagocephalusprincipe</t>
  </si>
  <si>
    <t>Zeus-faberprincipe</t>
  </si>
  <si>
    <t>Naucrates-ductorprincipe</t>
  </si>
  <si>
    <t>Psettodes-belcheriprincipe</t>
  </si>
  <si>
    <t>Umbrina-canariensisprincipe</t>
  </si>
  <si>
    <t>espaco</t>
  </si>
  <si>
    <t>apagar.distrito</t>
  </si>
  <si>
    <t>if(${ilha} = 'principe', 'pague',${apagar.distrito})</t>
  </si>
  <si>
    <t>tipoembarcacao = ${tipo-embarcacao}</t>
  </si>
  <si>
    <t>apagar.propulsao</t>
  </si>
  <si>
    <t>if(${tipo-embarcacao} = 'semiindustrial', 'motor',${apagar.propulsao})</t>
  </si>
  <si>
    <t>Venda</t>
  </si>
  <si>
    <t>Consumo</t>
  </si>
  <si>
    <t>consumo</t>
  </si>
  <si>
    <t>Salga</t>
  </si>
  <si>
    <t>TARRAFA</t>
  </si>
  <si>
    <t>apagar-inquiridor</t>
  </si>
  <si>
    <t>apagar-inquiridor-outro</t>
  </si>
  <si>
    <t>select_one inquiridor</t>
  </si>
  <si>
    <t>if(${apagar-inquiridor} = 'outro', ${apagar-inquiridor-outro},${apagar-inquiridor})</t>
  </si>
  <si>
    <t>fao</t>
  </si>
  <si>
    <t>BAF</t>
  </si>
  <si>
    <t>ABU</t>
  </si>
  <si>
    <t>WAH</t>
  </si>
  <si>
    <t>MDO</t>
  </si>
  <si>
    <t>BOF</t>
  </si>
  <si>
    <t>ALA</t>
  </si>
  <si>
    <t>ALN</t>
  </si>
  <si>
    <t>AVH</t>
  </si>
  <si>
    <t>AHN</t>
  </si>
  <si>
    <t>AFK</t>
  </si>
  <si>
    <t>FRI</t>
  </si>
  <si>
    <t>TRG</t>
  </si>
  <si>
    <t>BVP</t>
  </si>
  <si>
    <t>BXD</t>
  </si>
  <si>
    <t>BZD</t>
  </si>
  <si>
    <t>BOG</t>
  </si>
  <si>
    <t>Syacium-guineensissaotome</t>
  </si>
  <si>
    <t>YGL</t>
  </si>
  <si>
    <t>OUB</t>
  </si>
  <si>
    <t>UAE</t>
  </si>
  <si>
    <t>CNT</t>
  </si>
  <si>
    <t>CZT</t>
  </si>
  <si>
    <t>NBR</t>
  </si>
  <si>
    <t>RUB</t>
  </si>
  <si>
    <t>CVJ</t>
  </si>
  <si>
    <t>NXL</t>
  </si>
  <si>
    <t>NXU</t>
  </si>
  <si>
    <t>CFQ</t>
  </si>
  <si>
    <t>EFA</t>
  </si>
  <si>
    <t>AMH</t>
  </si>
  <si>
    <t>CGY</t>
  </si>
  <si>
    <t>CFW</t>
  </si>
  <si>
    <t>DOL</t>
  </si>
  <si>
    <t>DYL</t>
  </si>
  <si>
    <t>RTB</t>
  </si>
  <si>
    <t>DNC</t>
  </si>
  <si>
    <t>DEL</t>
  </si>
  <si>
    <t>SIC</t>
  </si>
  <si>
    <t>RRU</t>
  </si>
  <si>
    <t>EFD</t>
  </si>
  <si>
    <t>GPW</t>
  </si>
  <si>
    <t>EEG</t>
  </si>
  <si>
    <t>GPD</t>
  </si>
  <si>
    <t>EYO</t>
  </si>
  <si>
    <t>LTA</t>
  </si>
  <si>
    <t>FUT</t>
  </si>
  <si>
    <t>GAL</t>
  </si>
  <si>
    <t>GAS</t>
  </si>
  <si>
    <t>GNC</t>
  </si>
  <si>
    <t>BHA</t>
  </si>
  <si>
    <t>HTU</t>
  </si>
  <si>
    <t>HFW</t>
  </si>
  <si>
    <t>HOO</t>
  </si>
  <si>
    <t>SAI</t>
  </si>
  <si>
    <t>SKJ</t>
  </si>
  <si>
    <t>LFL</t>
  </si>
  <si>
    <t>LTN</t>
  </si>
  <si>
    <t>LOB</t>
  </si>
  <si>
    <t>LJA</t>
  </si>
  <si>
    <t>QFM</t>
  </si>
  <si>
    <t>LVN</t>
  </si>
  <si>
    <t>LJO</t>
  </si>
  <si>
    <t>BUM</t>
  </si>
  <si>
    <t>MEN</t>
  </si>
  <si>
    <t>MUF</t>
  </si>
  <si>
    <t>YMZ</t>
  </si>
  <si>
    <t>MUR</t>
  </si>
  <si>
    <t>MME</t>
  </si>
  <si>
    <t>MMO</t>
  </si>
  <si>
    <t>MKU</t>
  </si>
  <si>
    <t>MXU</t>
  </si>
  <si>
    <t>MJA</t>
  </si>
  <si>
    <t>OOR</t>
  </si>
  <si>
    <t>PAR</t>
  </si>
  <si>
    <t>TIF</t>
  </si>
  <si>
    <t>GBL</t>
  </si>
  <si>
    <t>PXV</t>
  </si>
  <si>
    <t>WRF</t>
  </si>
  <si>
    <t>BGR</t>
  </si>
  <si>
    <t>BGZ</t>
  </si>
  <si>
    <t>POI</t>
  </si>
  <si>
    <t>PQR</t>
  </si>
  <si>
    <t>GOA</t>
  </si>
  <si>
    <t>RYC</t>
  </si>
  <si>
    <t>AXH</t>
  </si>
  <si>
    <t>UVB</t>
  </si>
  <si>
    <t>MAW</t>
  </si>
  <si>
    <t>SLQ</t>
  </si>
  <si>
    <t>LOS</t>
  </si>
  <si>
    <t>BIS</t>
  </si>
  <si>
    <t>LUK</t>
  </si>
  <si>
    <t>YTL</t>
  </si>
  <si>
    <t>GBA</t>
  </si>
  <si>
    <t>YRS</t>
  </si>
  <si>
    <t>SPL</t>
  </si>
  <si>
    <t>JDR</t>
  </si>
  <si>
    <t>YFT</t>
  </si>
  <si>
    <t>BET</t>
  </si>
  <si>
    <t>TOG</t>
  </si>
  <si>
    <t>POP</t>
  </si>
  <si>
    <t>COB</t>
  </si>
  <si>
    <t>USE</t>
  </si>
  <si>
    <t>XYN</t>
  </si>
  <si>
    <t>TSP</t>
  </si>
  <si>
    <t>LEC</t>
  </si>
  <si>
    <t>PRP</t>
  </si>
  <si>
    <t>LGH</t>
  </si>
  <si>
    <t>JOD</t>
  </si>
  <si>
    <t>NAU</t>
  </si>
  <si>
    <t>SOT</t>
  </si>
  <si>
    <t>Syacium-guineensisprincipe</t>
  </si>
  <si>
    <t>OTL</t>
  </si>
  <si>
    <t>Natantia</t>
  </si>
  <si>
    <t>Natantiasaotome</t>
  </si>
  <si>
    <t>DCP</t>
  </si>
  <si>
    <t>Decapterus-sppsaotome</t>
  </si>
  <si>
    <t>SDX</t>
  </si>
  <si>
    <t>CGX</t>
  </si>
  <si>
    <t>Exocoetidae</t>
  </si>
  <si>
    <t>Exocoetidaesaotome</t>
  </si>
  <si>
    <t>FLY</t>
  </si>
  <si>
    <t>Kyphosus-sppsaotome</t>
  </si>
  <si>
    <t>KYP</t>
  </si>
  <si>
    <t>RMV</t>
  </si>
  <si>
    <t>Mobula-sppsaotome</t>
  </si>
  <si>
    <t>Octopus-sppsaotome</t>
  </si>
  <si>
    <t>OCZ</t>
  </si>
  <si>
    <t>Pagrus-sppsaotome</t>
  </si>
  <si>
    <t>SBP</t>
  </si>
  <si>
    <t>Pseudotolithus-sppsaotome</t>
  </si>
  <si>
    <t>CKW</t>
  </si>
  <si>
    <t>Sardinella-sppsaotome</t>
  </si>
  <si>
    <t>SIX</t>
  </si>
  <si>
    <t>Sepia-sppsaotome</t>
  </si>
  <si>
    <t>IAX</t>
  </si>
  <si>
    <t>Spicara-sppsaotome</t>
  </si>
  <si>
    <t>PIC</t>
  </si>
  <si>
    <t>Tylosurus-sppsaotome</t>
  </si>
  <si>
    <t>NED</t>
  </si>
  <si>
    <t>Physiculus-sppsaotome</t>
  </si>
  <si>
    <t>PQO</t>
  </si>
  <si>
    <t>CDX</t>
  </si>
  <si>
    <t>Natantiaprincipe</t>
  </si>
  <si>
    <t>Decapterus-sppprincipe</t>
  </si>
  <si>
    <t>Exocoetidaeprincipe</t>
  </si>
  <si>
    <t>Kyphosus-sppprincipe</t>
  </si>
  <si>
    <t>Mobula-sppprincipe</t>
  </si>
  <si>
    <t>Octopus-sppprincipe</t>
  </si>
  <si>
    <t>Pagrus-sppprincipe</t>
  </si>
  <si>
    <t>Pseudotolithus-sppprincipe</t>
  </si>
  <si>
    <t>Sardinella-sppprincipe</t>
  </si>
  <si>
    <t>Sepia-sppprincipe</t>
  </si>
  <si>
    <t>Spicara-sppprincipe</t>
  </si>
  <si>
    <t>Tylosurus-sppprincipe</t>
  </si>
  <si>
    <t>Physiculus-sppprincipe</t>
  </si>
  <si>
    <t>selected(${apagar-inquiridor},'outro')</t>
  </si>
  <si>
    <t>Antonio.Manuel.Pires</t>
  </si>
  <si>
    <t>António Manuel Pires</t>
  </si>
  <si>
    <t>Arlindo Evaristo Costa</t>
  </si>
  <si>
    <t>Aurélio Lourenço Doze da Cruz</t>
  </si>
  <si>
    <t>Cláudio Antíónio S. Vila Nova</t>
  </si>
  <si>
    <t>Gaspar Afonso dos Reis</t>
  </si>
  <si>
    <t>Layr's de Araújo Castro</t>
  </si>
  <si>
    <t>Laurindo da Costa Lima Neto</t>
  </si>
  <si>
    <t>Yazalde da Silva Amor Divino</t>
  </si>
  <si>
    <t>Olegário Agostinho Braga</t>
  </si>
  <si>
    <t>Cristovão António da Trindade</t>
  </si>
  <si>
    <t>Deolinda Pereira Landim</t>
  </si>
  <si>
    <t>Deolinda D'Apresentação</t>
  </si>
  <si>
    <t>Valerio da Graça</t>
  </si>
  <si>
    <t>Outro</t>
  </si>
  <si>
    <t>Arlindo.Evaristo.Costa</t>
  </si>
  <si>
    <t>Gaspar.Afonso.dos.Reis</t>
  </si>
  <si>
    <t>Laurindo.da.Costa.Lima.Neto</t>
  </si>
  <si>
    <t>Yazalde.da.Silva.Amor.Divino</t>
  </si>
  <si>
    <t>Deolinda.Pereira.Landim</t>
  </si>
  <si>
    <t>Valerio.da.Graca</t>
  </si>
  <si>
    <t>Cristovao.Antonio.da.Trindade</t>
  </si>
  <si>
    <t>Layrs.de.Araujo.Castro</t>
  </si>
  <si>
    <t>Deolinda.DApresentacao</t>
  </si>
  <si>
    <t>Olegario.Agostinho.Braga</t>
  </si>
  <si>
    <t>Dario.de.Sousa.Vaz.Campo</t>
  </si>
  <si>
    <t>outro</t>
  </si>
  <si>
    <t>Canoa</t>
  </si>
  <si>
    <t>Bote</t>
  </si>
  <si>
    <t>Prao</t>
  </si>
  <si>
    <t>Data de chegada</t>
  </si>
  <si>
    <t>Nº de Registro / Nome da embarcação</t>
  </si>
  <si>
    <t>subtipopesca</t>
  </si>
  <si>
    <t>autocomplete compact-2</t>
  </si>
  <si>
    <t>Tubarão</t>
  </si>
  <si>
    <t>TUBARAO</t>
  </si>
  <si>
    <t>Carcharodon-carchariassaotome</t>
  </si>
  <si>
    <t>WSH</t>
  </si>
  <si>
    <t>Blonze / Blonje / Bronze</t>
  </si>
  <si>
    <t>Morreia de terra / Moreia de terra</t>
  </si>
  <si>
    <t>Gymnothorax-sppsaotome</t>
  </si>
  <si>
    <t>AXZ</t>
  </si>
  <si>
    <t>Tubarão Tunhá</t>
  </si>
  <si>
    <t>TUBARAO TUNHA</t>
  </si>
  <si>
    <t>Isurus-sppsaotome</t>
  </si>
  <si>
    <t>MAK</t>
  </si>
  <si>
    <t>Coelho ananás / Peixe coelho</t>
  </si>
  <si>
    <t>Sabonete vermelho / Salmonete vermelho</t>
  </si>
  <si>
    <t>Tubarão mãe água</t>
  </si>
  <si>
    <t>Prionace-glaucasaotome</t>
  </si>
  <si>
    <t>BSH</t>
  </si>
  <si>
    <t>Caqui alada / caqui de pedra</t>
  </si>
  <si>
    <t>Come mole</t>
  </si>
  <si>
    <t>Lagosta / Cavaco</t>
  </si>
  <si>
    <t>Carcharhinus-sppsaotome</t>
  </si>
  <si>
    <t>CWZ</t>
  </si>
  <si>
    <t>PWT</t>
  </si>
  <si>
    <t>tubarao martelo Tubarão martelo tubarão toto</t>
  </si>
  <si>
    <t>Raia</t>
  </si>
  <si>
    <t>Negaprion-brevirostrissaotome</t>
  </si>
  <si>
    <t>NGB</t>
  </si>
  <si>
    <t>Tubarão Labulongo</t>
  </si>
  <si>
    <t>TUBARAO LABULONGO</t>
  </si>
  <si>
    <t>Alopias-vulpinussaotome</t>
  </si>
  <si>
    <t>ALV</t>
  </si>
  <si>
    <t>Tubarão Lagaia</t>
  </si>
  <si>
    <t>TUBARAO LAGAIA</t>
  </si>
  <si>
    <t>Galeocerdo-cuviersaotome</t>
  </si>
  <si>
    <t>TIG</t>
  </si>
  <si>
    <t>Carcharodon-carchariasprincipe</t>
  </si>
  <si>
    <t>Moreia fula / morreia fula</t>
  </si>
  <si>
    <t>Gymnothorax-sppprincipe</t>
  </si>
  <si>
    <t>Isurus-sppprincipe</t>
  </si>
  <si>
    <t>Prionace-glaucaprincipe</t>
  </si>
  <si>
    <t>Caqui vermelho / Caqui de fundo</t>
  </si>
  <si>
    <t>Carcharhinus-sppprincipe</t>
  </si>
  <si>
    <t>Negaprion-brevirostrisprincipe</t>
  </si>
  <si>
    <t>Alopias-vulpinusprincipe</t>
  </si>
  <si>
    <t>Galeocerdo-cuvierprincipe</t>
  </si>
  <si>
    <t>Escrever nome do tipo de peixe que não está na lista</t>
  </si>
  <si>
    <t>FIO-E-ANZOL</t>
  </si>
  <si>
    <t>REDE-EMALHAR-SUPERFICIE</t>
  </si>
  <si>
    <t>Fio e anzol (todos os tipos)</t>
  </si>
  <si>
    <t>Rede de voador</t>
  </si>
  <si>
    <t>Rede de brisa / cerco</t>
  </si>
  <si>
    <t>REDE-BRISA</t>
  </si>
  <si>
    <t>Rede feijão</t>
  </si>
  <si>
    <t>Voador panhá</t>
  </si>
  <si>
    <t>Submarino</t>
  </si>
  <si>
    <t>Tarrafa</t>
  </si>
  <si>
    <t>Rede malhadeira</t>
  </si>
  <si>
    <t>arte-de-pesca</t>
  </si>
  <si>
    <t>REDE-EMALHAR-DEMERSAL</t>
  </si>
  <si>
    <t>Qual foi o tipo de pesca?</t>
  </si>
  <si>
    <t>select_multiple tipo-combustivel</t>
  </si>
  <si>
    <t>PESCA-DE-SANTOLA</t>
  </si>
  <si>
    <t>Pesca de santola (gaiola)</t>
  </si>
  <si>
    <t>FIN</t>
  </si>
  <si>
    <t>Santola</t>
  </si>
  <si>
    <t>SANTOLA</t>
  </si>
  <si>
    <t>Chaceon-affinissaotome</t>
  </si>
  <si>
    <t>KEF</t>
  </si>
  <si>
    <t>Chaceon-affinisprincipe</t>
  </si>
  <si>
    <t>NAO-APANHOU-STP.png</t>
  </si>
  <si>
    <t>OUTRO-PEIXE-STP.png</t>
  </si>
  <si>
    <t>Ablennes-hians-STP.png</t>
  </si>
  <si>
    <t>Abudefduf-saxatilis-ST.png</t>
  </si>
  <si>
    <t>Acanthocybium-solandri-STP.png</t>
  </si>
  <si>
    <t>Acanthostracion-notacanthus-STP.png</t>
  </si>
  <si>
    <t>Acanthurus-monroviae-ST.png</t>
  </si>
  <si>
    <t>Albula-vulpes-STP.png</t>
  </si>
  <si>
    <t>Alectis-alexandrina-ST.png</t>
  </si>
  <si>
    <t>Aluterus-scriptus-ST.png</t>
  </si>
  <si>
    <t>Aluterus-heudelotii-STP.png</t>
  </si>
  <si>
    <t>Antennarius-multiocellatus-STP.png</t>
  </si>
  <si>
    <t>Anthias-anthias-STP.png</t>
  </si>
  <si>
    <t>Apsilus-fuscus-STP.png</t>
  </si>
  <si>
    <t>Auxis-thazard-STP.png</t>
  </si>
  <si>
    <t>Balistes-capriscus-STP.png</t>
  </si>
  <si>
    <t>Balistes-punctatus-ST.png</t>
  </si>
  <si>
    <t>Beryx-decadactylus-ST.png</t>
  </si>
  <si>
    <t>Bodianus-speciosus-ST.png</t>
  </si>
  <si>
    <t>Boops-boops-STP.png</t>
  </si>
  <si>
    <t>Syacium-guineensis-STP.png</t>
  </si>
  <si>
    <t>Bothus-lunatus-STP.png</t>
  </si>
  <si>
    <t>Bothus-podas-STP.png</t>
  </si>
  <si>
    <t>Branchiostegus-semifasciatus-STP.png</t>
  </si>
  <si>
    <t>Canthidermis-maculata-STP.png</t>
  </si>
  <si>
    <t>Canthidermis-sufflamen-STP.png</t>
  </si>
  <si>
    <t>Caranx-bartholomaei-STP.png</t>
  </si>
  <si>
    <t>Caranx-crysos-STP.png</t>
  </si>
  <si>
    <t>Caranx-hippos-STP.png</t>
  </si>
  <si>
    <t>Caranx-latus-STP.png</t>
  </si>
  <si>
    <t>Caranx-lugubris-STP.png</t>
  </si>
  <si>
    <t>Carcharodon-carcharias-STP.png</t>
  </si>
  <si>
    <t>Cephalopholis-nigri-ST.png</t>
  </si>
  <si>
    <t>Cephalopholis-taeniops-STP.png</t>
  </si>
  <si>
    <t>Channomuraena-vittata-ST.png</t>
  </si>
  <si>
    <t>Chelidonichthys-gabonensis-STP.png</t>
  </si>
  <si>
    <t>Chilomycterus-reticulatus-STP.png</t>
  </si>
  <si>
    <t>Cirrhitus-atlanticus-STP.png</t>
  </si>
  <si>
    <t>Coris-atlantica-STP.png</t>
  </si>
  <si>
    <t>Coryphaena-equiselis-STP.png</t>
  </si>
  <si>
    <t>Coryphaena-hippurus-STP.png</t>
  </si>
  <si>
    <t>Natantia-STP.png</t>
  </si>
  <si>
    <t>Dactylopterus-volitans-STP.png</t>
  </si>
  <si>
    <t>Taeniurops-grabatus-STP.png</t>
  </si>
  <si>
    <t>Decapterus-spp-STP.png</t>
  </si>
  <si>
    <t>Dentex-congoensis-ST.png</t>
  </si>
  <si>
    <t>Dentex-macrophthalmus-STP.png</t>
  </si>
  <si>
    <t>Drepane-africana-STP.png</t>
  </si>
  <si>
    <t>Ephippus-goreensis-STP.png</t>
  </si>
  <si>
    <t>Epinephelus-adscensionis-STP.png</t>
  </si>
  <si>
    <t>Epinephelus-aeneus-STP.png</t>
  </si>
  <si>
    <t>Epinephelus-goreensis-STP.png</t>
  </si>
  <si>
    <t>Epinephelus-marginatus-STP.png</t>
  </si>
  <si>
    <t>Erythrocles-monodi-STP.png</t>
  </si>
  <si>
    <t>Euthynnus-alletteratus-STP.png</t>
  </si>
  <si>
    <t>Exocoetidae-STP.png</t>
  </si>
  <si>
    <t>Fistularia-tabacaria-STP.png</t>
  </si>
  <si>
    <t>Galeoides-decadactylus-STP.png</t>
  </si>
  <si>
    <t>Gastropoda-STP.png</t>
  </si>
  <si>
    <t>Ginglymostoma-cirratum-STP.png</t>
  </si>
  <si>
    <t>Grammonus-longhursti-STP.png</t>
  </si>
  <si>
    <t>Gymnothorax-spp-ST.png</t>
  </si>
  <si>
    <t>Hemiramphus-balao-STP.png</t>
  </si>
  <si>
    <t>Heteropriacanthus-cruentatus-STP.png</t>
  </si>
  <si>
    <t>Holacanthus-africanus-STP.png</t>
  </si>
  <si>
    <t>Holocentrus-adscensionis-STP.png</t>
  </si>
  <si>
    <t>Istiophorus-albicans-STP.png</t>
  </si>
  <si>
    <t>Isurus-spp-STP.png</t>
  </si>
  <si>
    <t>Katsuwonus-pelamis-STP.png</t>
  </si>
  <si>
    <t>Kyphosus-spp-STP.png</t>
  </si>
  <si>
    <t>Lagocephalus-laevigatus-ST.png</t>
  </si>
  <si>
    <t>Lethrinus-atlanticus-STP.png</t>
  </si>
  <si>
    <t>Lobotes-surinamensis-STP.png</t>
  </si>
  <si>
    <t>Lutjanus-agennes-STP.png</t>
  </si>
  <si>
    <t>Lutjanus-endecacanthus-STP.png</t>
  </si>
  <si>
    <t>Lutjanus-fulgens-STP.png</t>
  </si>
  <si>
    <t>Lutjanus-goreensis-STP.png</t>
  </si>
  <si>
    <t>Melichthys-niger-STP.png</t>
  </si>
  <si>
    <t>Mobula-spp-STP.png</t>
  </si>
  <si>
    <t>Mugil-cephalus-STP.png</t>
  </si>
  <si>
    <t>Mulloidichthys-martinicus-STP.png</t>
  </si>
  <si>
    <t>Mullus-surmuletus-STP.png</t>
  </si>
  <si>
    <t>Muraena-melanotis-STP.png</t>
  </si>
  <si>
    <t>Muraena-robusta-STP.png</t>
  </si>
  <si>
    <t>Mycteroperca-rubra-STP.png</t>
  </si>
  <si>
    <t>Myrichthys-pardalis-STP.png</t>
  </si>
  <si>
    <t>Myripristis-jacobus-STP.png</t>
  </si>
  <si>
    <t>Octopus-spp-STP.png</t>
  </si>
  <si>
    <t>Ophichthus-rufus-STP.png</t>
  </si>
  <si>
    <t>Pagellus-bellottii-STP.png</t>
  </si>
  <si>
    <t>Pagrus-spp-STP.png</t>
  </si>
  <si>
    <t>Paranthias-furcifer-STP.png</t>
  </si>
  <si>
    <t>Plectorhinchus-macrolepis-STP.png</t>
  </si>
  <si>
    <t>Polymixia-nobilis-STP.png</t>
  </si>
  <si>
    <t>Polyprion-americanus-STP.png</t>
  </si>
  <si>
    <t>Pomadasys-incisus-ST.png</t>
  </si>
  <si>
    <t>Pomadasys-rogerii-STP.png</t>
  </si>
  <si>
    <t>Pontinus-kuhlii-STP.png</t>
  </si>
  <si>
    <t>Priacanthus-arenatus-STP.png</t>
  </si>
  <si>
    <t>Prionace-glauca-STP.png</t>
  </si>
  <si>
    <t>Pseudotolithus-spp-STP.png</t>
  </si>
  <si>
    <t>Pseudupeneus-prayensis-STP.png</t>
  </si>
  <si>
    <t>Rypticus-saponaceus-STP.png</t>
  </si>
  <si>
    <t>Sardinella-spp-STP.png</t>
  </si>
  <si>
    <t>Sargocentron-hastatum-ST.png</t>
  </si>
  <si>
    <t>Scarus-hoefleri-STP.png</t>
  </si>
  <si>
    <t>Scomberomorus-tritor-STP.png</t>
  </si>
  <si>
    <t>Scorpaena-laevis-STP.png</t>
  </si>
  <si>
    <t>Scyllaridae-STP.png</t>
  </si>
  <si>
    <t>Carcharhinus-spp-STP.png</t>
  </si>
  <si>
    <t>Selar-crumenophthalmus-STP.png</t>
  </si>
  <si>
    <t>Selene-dorsalis-STP.png</t>
  </si>
  <si>
    <t>Sepia-spp-STP.png</t>
  </si>
  <si>
    <t>Seriola-rivoliana-STP.png</t>
  </si>
  <si>
    <t>Sparisoma-choati-STP.png</t>
  </si>
  <si>
    <t>Sphyraena-barracuda-STP.png</t>
  </si>
  <si>
    <t>Sphyraena-sphyraena-ST.png</t>
  </si>
  <si>
    <t>Sphyrna-lewini-STP.png</t>
  </si>
  <si>
    <t>Hypanus-rudis-STP.png</t>
  </si>
  <si>
    <t>Thalassoma-newtoni-STP.png</t>
  </si>
  <si>
    <t>Thunnus-albacares-STP.png</t>
  </si>
  <si>
    <t>Thunnus-obesus-STP.png</t>
  </si>
  <si>
    <t>Trachinotus-goreensis-STP.png</t>
  </si>
  <si>
    <t>Trachinotus-ovatus-STP.png</t>
  </si>
  <si>
    <t>Tylosurus-spp-ST.png</t>
  </si>
  <si>
    <t>Umbrina-cirrosa-STP.png</t>
  </si>
  <si>
    <t>Uraspis-secunda-STP.png</t>
  </si>
  <si>
    <t>Xyrichtys-novacula-STP.png</t>
  </si>
  <si>
    <t>Sphoeroides-pachygaster-STP.png</t>
  </si>
  <si>
    <t>Lepidocybium-flavobrunneum-STP.png</t>
  </si>
  <si>
    <t>Promethichthys-prometheus-STP.png</t>
  </si>
  <si>
    <t>Lagocephalus-lagocephalus-STP.png</t>
  </si>
  <si>
    <t>Zeus-faber-STP.png</t>
  </si>
  <si>
    <t>Naucrates-ductor-STP.png</t>
  </si>
  <si>
    <t>Physiculus-spp-STP.png</t>
  </si>
  <si>
    <t>Psettodes-belcheri-STP.png</t>
  </si>
  <si>
    <t>Umbrina-canariensis-STP.png</t>
  </si>
  <si>
    <t>Negaprion-brevirostris-STP.png</t>
  </si>
  <si>
    <t>Alopias-vulpinus-STP.png</t>
  </si>
  <si>
    <t>Galeocerdo-cuvier-STP.png</t>
  </si>
  <si>
    <t>Chaceon-affinis-STP.png</t>
  </si>
  <si>
    <t>Abudefduf-saxatilis-PC.png</t>
  </si>
  <si>
    <t>Acanthurus-monroviae-PC.png</t>
  </si>
  <si>
    <t>Alectis-alexandrina-PC.png</t>
  </si>
  <si>
    <t>Aluterus-scriptus-PC.png</t>
  </si>
  <si>
    <t>Balistes-punctatus-PC.png</t>
  </si>
  <si>
    <t>Beryx-decadactylus-PC.png</t>
  </si>
  <si>
    <t>Bodianus-speciosus-PC.png</t>
  </si>
  <si>
    <t>Cephalopholis-nigri-PC.png</t>
  </si>
  <si>
    <t>Channomuraena-vittata-PC.png</t>
  </si>
  <si>
    <t>Dentex-congoensis-PC.png</t>
  </si>
  <si>
    <t>Gymnothorax-spp-PC.png</t>
  </si>
  <si>
    <t>Lagocephalus-laevigatus-PC.png</t>
  </si>
  <si>
    <t>Pomadasys-incisus-PC.png</t>
  </si>
  <si>
    <t>Sargocentron-hastatum-PC.png</t>
  </si>
  <si>
    <t>Sphyraena-sphyraena-PC.png</t>
  </si>
  <si>
    <t>Tylosurus-spp-PC.png</t>
  </si>
  <si>
    <t>espaco.png</t>
  </si>
  <si>
    <t> .&lt;= today() </t>
  </si>
  <si>
    <t xml:space="preserve">Qual foi o preço da GASOLINA por litro? </t>
  </si>
  <si>
    <t xml:space="preserve">Qual foi o preço do PETRÓLEO por litro? </t>
  </si>
  <si>
    <t>preco-gasolina</t>
  </si>
  <si>
    <t>preco-petroleo</t>
  </si>
  <si>
    <t>selected(${tipo-combustivel},'gasolina')</t>
  </si>
  <si>
    <t>selected(${tipo-combustivel},'petroleo')</t>
  </si>
  <si>
    <t>PREÇO DO COMBUSTIVEL</t>
  </si>
  <si>
    <t>combustivel-preco</t>
  </si>
  <si>
    <t>Quantos litros de GASOLINA gastou?</t>
  </si>
  <si>
    <t>Quantos litros de PETRÓLEO gastou?</t>
  </si>
  <si>
    <t>QUANTIDADE DE COMBUSTIVEL</t>
  </si>
  <si>
    <t>preco-oleo-motor</t>
  </si>
  <si>
    <t xml:space="preserve">Qual foi o preço do ÓLEO DE MOTOR por litro? </t>
  </si>
  <si>
    <t>${oleo-motor} &gt; 0</t>
  </si>
  <si>
    <t>hoje</t>
  </si>
  <si>
    <t>ontem</t>
  </si>
  <si>
    <t>outra-data</t>
  </si>
  <si>
    <t>Outra data</t>
  </si>
  <si>
    <t>data_saida</t>
  </si>
  <si>
    <t>Hoje (depois da meia noite)</t>
  </si>
  <si>
    <t>Ontem (antes da meia noite)</t>
  </si>
  <si>
    <t>comunidade-desembarque</t>
  </si>
  <si>
    <t>Comunidade de desembarque</t>
  </si>
  <si>
    <t>comunidade-origem</t>
  </si>
  <si>
    <t>Qual é a comunidade de origem?</t>
  </si>
  <si>
    <t>autocomplete</t>
  </si>
  <si>
    <t>now()</t>
  </si>
  <si>
    <t>hora-inicio-questionario</t>
  </si>
  <si>
    <t>Quantos litros de ÓLEO DE MOTOR usou?</t>
  </si>
  <si>
    <t>select_multiple propulsao</t>
  </si>
  <si>
    <t xml:space="preserve">selected(${propulsao},'motor') </t>
  </si>
  <si>
    <t>ilha = ${ilha}</t>
  </si>
  <si>
    <t>comunidade-origem-apagar</t>
  </si>
  <si>
    <t>A embarcação é de esta praia?</t>
  </si>
  <si>
    <t>selected(${comunidade-origem-apagar},'nao')</t>
  </si>
  <si>
    <t>Data e hora de saída</t>
  </si>
  <si>
    <t>Qual foi o tipo de combustivel?</t>
  </si>
  <si>
    <t>NAO-PESCA</t>
  </si>
  <si>
    <t>mal_tempo</t>
  </si>
  <si>
    <t>Mal tempo</t>
  </si>
  <si>
    <t>Apanhou mais algum peixe?</t>
  </si>
  <si>
    <t>Não conseguiu pescar por avaria ou mal tempo</t>
  </si>
  <si>
    <t>picao</t>
  </si>
  <si>
    <t>Picão</t>
  </si>
  <si>
    <t>Ablennes hians</t>
  </si>
  <si>
    <t>Abudefduf saxatilis</t>
  </si>
  <si>
    <t>Acanthocybium solandri</t>
  </si>
  <si>
    <t>Acanthostracion notacanthus</t>
  </si>
  <si>
    <t>Acanthurus monroviae</t>
  </si>
  <si>
    <t>Albula vulpes</t>
  </si>
  <si>
    <t>Alectis alexandrina</t>
  </si>
  <si>
    <t>Aluterus scriptus</t>
  </si>
  <si>
    <t>Aluterus heudelotii</t>
  </si>
  <si>
    <t>Antennarius multiocellatus</t>
  </si>
  <si>
    <t>Anthias anthias</t>
  </si>
  <si>
    <t>Apsilus fuscus</t>
  </si>
  <si>
    <t>Auxis thazard</t>
  </si>
  <si>
    <t>Balistes capriscus</t>
  </si>
  <si>
    <t>Balistes punctatus</t>
  </si>
  <si>
    <t>Beryx decadactylus</t>
  </si>
  <si>
    <t>Bodianus speciosus</t>
  </si>
  <si>
    <t>Boops boops</t>
  </si>
  <si>
    <t>Syacium guineensis</t>
  </si>
  <si>
    <t>Bothus lunatus</t>
  </si>
  <si>
    <t>Bothus podas</t>
  </si>
  <si>
    <t>Branchiostegus semifasciatus</t>
  </si>
  <si>
    <t>Canthidermis maculata</t>
  </si>
  <si>
    <t>Canthidermis sufflamen</t>
  </si>
  <si>
    <t>Caranx bartholomaei</t>
  </si>
  <si>
    <t>Caranx crysos</t>
  </si>
  <si>
    <t>Caranx hippos</t>
  </si>
  <si>
    <t>Caranx latus</t>
  </si>
  <si>
    <t>Caranx lugubris</t>
  </si>
  <si>
    <t>Carcharodon carcharias</t>
  </si>
  <si>
    <t>Cephalopholis nigri</t>
  </si>
  <si>
    <t>Cephalopholis taeniops</t>
  </si>
  <si>
    <t>Channomuraena vittata</t>
  </si>
  <si>
    <t>Chelidonichthys gabonensis</t>
  </si>
  <si>
    <t>Chilomycterus reticulatus</t>
  </si>
  <si>
    <t>Cirrhitus atlanticus</t>
  </si>
  <si>
    <t>Coris atlantica</t>
  </si>
  <si>
    <t>Coryphaena equiselis</t>
  </si>
  <si>
    <t>Coryphaena hippurus</t>
  </si>
  <si>
    <t>Dactylopterus volitans</t>
  </si>
  <si>
    <t>Taeniurops grabatus</t>
  </si>
  <si>
    <t>Decapterus spp</t>
  </si>
  <si>
    <t>Dentex congoensis</t>
  </si>
  <si>
    <t>Dentex macrophthalmus</t>
  </si>
  <si>
    <t>Drepane africana</t>
  </si>
  <si>
    <t>Elagatis bipinnulata</t>
  </si>
  <si>
    <t>Ephippus goreensis</t>
  </si>
  <si>
    <t>Epinephelus adscensionis</t>
  </si>
  <si>
    <t>Epinephelus aeneus</t>
  </si>
  <si>
    <t>Epinephelus goreensis</t>
  </si>
  <si>
    <t>Epinephelus marginatus</t>
  </si>
  <si>
    <t>Erythrocles monodi</t>
  </si>
  <si>
    <t>Euthynnus alletteratus</t>
  </si>
  <si>
    <t>Fistularia tabacaria</t>
  </si>
  <si>
    <t>Galeoides decadactylus</t>
  </si>
  <si>
    <t>Ginglymostoma cirratum</t>
  </si>
  <si>
    <t>Grammonus longhursti</t>
  </si>
  <si>
    <t>Gymnothorax spp</t>
  </si>
  <si>
    <t>Hemiramphus balao</t>
  </si>
  <si>
    <t>Heteropriacanthus cruentatus</t>
  </si>
  <si>
    <t>Holacanthus africanus</t>
  </si>
  <si>
    <t>Holocentrus adscensionis</t>
  </si>
  <si>
    <t>Istiophorus albicans</t>
  </si>
  <si>
    <t>Isurus spp</t>
  </si>
  <si>
    <t>Katsuwonus pelamis</t>
  </si>
  <si>
    <t>Kyphosus spp</t>
  </si>
  <si>
    <t>Lagocephalus laevigatus</t>
  </si>
  <si>
    <t>Lethrinus atlanticus</t>
  </si>
  <si>
    <t>Lobotes surinamensis</t>
  </si>
  <si>
    <t>Lutjanus agennes</t>
  </si>
  <si>
    <t>Lutjanus endecacanthus</t>
  </si>
  <si>
    <t>Lutjanus fulgens</t>
  </si>
  <si>
    <t>Lutjanus goreensis</t>
  </si>
  <si>
    <t>Makaira nigricans</t>
  </si>
  <si>
    <t>Melichthys niger</t>
  </si>
  <si>
    <t>Mobula spp</t>
  </si>
  <si>
    <t>Mugil cephalus</t>
  </si>
  <si>
    <t>Mulloidichthys martinicus</t>
  </si>
  <si>
    <t>Mullus surmuletus</t>
  </si>
  <si>
    <t>Muraena melanotis</t>
  </si>
  <si>
    <t>Muraena robusta</t>
  </si>
  <si>
    <t>Mycteroperca rubra</t>
  </si>
  <si>
    <t>Myrichthys pardalis</t>
  </si>
  <si>
    <t>Myripristis jacobus</t>
  </si>
  <si>
    <t>Octopus spp</t>
  </si>
  <si>
    <t>Ophichthus rufus</t>
  </si>
  <si>
    <t>Pagellus bellottii</t>
  </si>
  <si>
    <t>Pagrus spp</t>
  </si>
  <si>
    <t>Paranthias furcifer</t>
  </si>
  <si>
    <t>Plectorhinchus macrolepis</t>
  </si>
  <si>
    <t>Polymixia nobilis</t>
  </si>
  <si>
    <t>Polyprion americanus</t>
  </si>
  <si>
    <t>Pomadasys incisus</t>
  </si>
  <si>
    <t>Pomadasys rogerii</t>
  </si>
  <si>
    <t>Pontinus kuhlii</t>
  </si>
  <si>
    <t>Priacanthus arenatus</t>
  </si>
  <si>
    <t>Prionace glauca</t>
  </si>
  <si>
    <t>Pseudotolithus spp</t>
  </si>
  <si>
    <t>Pseudupeneus prayensis</t>
  </si>
  <si>
    <t>Rypticus saponaceus</t>
  </si>
  <si>
    <t>Sardinella spp</t>
  </si>
  <si>
    <t>Sargocentron hastatum</t>
  </si>
  <si>
    <t>Scarus hoefleri</t>
  </si>
  <si>
    <t>Scomberomorus tritor</t>
  </si>
  <si>
    <t>Scorpaena laevis</t>
  </si>
  <si>
    <t>Carcharhinus spp</t>
  </si>
  <si>
    <t>Selar crumenophthalmus</t>
  </si>
  <si>
    <t>Selene dorsalis</t>
  </si>
  <si>
    <t>Sepia spp</t>
  </si>
  <si>
    <t>Seriola rivoliana</t>
  </si>
  <si>
    <t>Sparisoma choati</t>
  </si>
  <si>
    <t>Sphyraena barracuda</t>
  </si>
  <si>
    <t>Sphyraena sphyraena</t>
  </si>
  <si>
    <t>Sphyrna lewini</t>
  </si>
  <si>
    <t>Spicara spp</t>
  </si>
  <si>
    <t>Hypanus rudis</t>
  </si>
  <si>
    <t>Thalassoma newtoni</t>
  </si>
  <si>
    <t>Thunnus albacares</t>
  </si>
  <si>
    <t>Thunnus obesus</t>
  </si>
  <si>
    <t>Trachinotus goreensis</t>
  </si>
  <si>
    <t>Trachinotus ovatus</t>
  </si>
  <si>
    <t>Tylosurus spp</t>
  </si>
  <si>
    <t>Umbrina cirrosa</t>
  </si>
  <si>
    <t>Uraspis secunda</t>
  </si>
  <si>
    <t>Xyrichtys novacula</t>
  </si>
  <si>
    <t>Sphoeroides pachygaster</t>
  </si>
  <si>
    <t>Lepidocybium flavobrunneum</t>
  </si>
  <si>
    <t>Promethichthys prometheus</t>
  </si>
  <si>
    <t>Lagocephalus lagocephalus</t>
  </si>
  <si>
    <t>Zeus faber</t>
  </si>
  <si>
    <t>Naucrates ductor</t>
  </si>
  <si>
    <t>Physiculus spp</t>
  </si>
  <si>
    <t>Psettodes belcheri</t>
  </si>
  <si>
    <t>Negaprion brevirostris</t>
  </si>
  <si>
    <t>Alopias vulpinus</t>
  </si>
  <si>
    <t>Galeocerdo cuvier</t>
  </si>
  <si>
    <t>Chaceon affinis</t>
  </si>
  <si>
    <t>selected(${tipo-embarcacao},'artesanal')</t>
  </si>
  <si>
    <t>gasoleo</t>
  </si>
  <si>
    <t>Gasóleo</t>
  </si>
  <si>
    <t>Quantos litros de GASÓLEO gastou?</t>
  </si>
  <si>
    <t>selected(${tipo-combustivel},'gasoleo')</t>
  </si>
  <si>
    <t>preco-gasoleo</t>
  </si>
  <si>
    <t xml:space="preserve">Qual foi o preço do GASÓLEO por litro? </t>
  </si>
  <si>
    <t>Fazer fotografia de peixe que não está na lista</t>
  </si>
  <si>
    <t>selected(${propulsao},'motor')</t>
  </si>
  <si>
    <t>chareu / chereu / xereu / xareu / selé / sele</t>
  </si>
  <si>
    <t>Elagatis-bipinnulata-STP.png</t>
  </si>
  <si>
    <t>Evoxymetopon-taeniatussaotome</t>
  </si>
  <si>
    <t>Espada de fundo</t>
  </si>
  <si>
    <t>Evoxymetopon-taeniatus-STP.png</t>
  </si>
  <si>
    <t>ESPADA DE FUNDO</t>
  </si>
  <si>
    <t>Evoxymetopon taeniatus</t>
  </si>
  <si>
    <t>SABONETE DE FUNDO</t>
  </si>
  <si>
    <t>Moreia de fundo / morreia moreia</t>
  </si>
  <si>
    <t>Pontinus-accraensissaotome</t>
  </si>
  <si>
    <t>bloló / Blolo</t>
  </si>
  <si>
    <t>Pontinus-accraensis-STP.png</t>
  </si>
  <si>
    <t>Pontinus accraensis</t>
  </si>
  <si>
    <t>PIS</t>
  </si>
  <si>
    <t>Umbrina canariensis</t>
  </si>
  <si>
    <t>Evoxymetopon-taeniatusprincipe</t>
  </si>
  <si>
    <t>Pontinus-accraensisprincipe</t>
  </si>
  <si>
    <t>Bloló / blolo</t>
  </si>
  <si>
    <t>obrigatorio</t>
  </si>
  <si>
    <t>nao-obrigatorio</t>
  </si>
  <si>
    <t>numero-especies</t>
  </si>
  <si>
    <t>if(${spilha1}='',0,1) + 
if(${spilha2}='',0,1) + 
if(${spilha3}='',0,1) + 
if(${spilha4}='',0,1) + 
if(${spilha5}='',0,1) + 
if(${spilha6}='',0,1) + 
if(${spilha7}='',0,1) + 
if(${spilha8}='',0,1) + 
if(${spilha9}='',0,1) + 
if(${spilha10}='',0,1) + 
if(${spilha11}='',0,1) + 
if(${spilha12}='',0,1) + 
if(${spilha13}='',0,1) + 
if(${spilha14}='',0,1) +
if(${spilha15}='',0,1) + 
if(${spilha16}='',0,1)</t>
  </si>
  <si>
    <t>saida</t>
  </si>
  <si>
    <t>Data e hora de chegada</t>
  </si>
  <si>
    <t>chegada</t>
  </si>
  <si>
    <t>Embarcação</t>
  </si>
  <si>
    <t>info-embarcacao</t>
  </si>
  <si>
    <t>comunidade-origem-apagar2</t>
  </si>
  <si>
    <t>if(${comunidade-origem-apagar} = 'nao', ${comunidade-origem-apagar2},${comunidade-desembarque})</t>
  </si>
  <si>
    <t>${numero-especies}</t>
  </si>
  <si>
    <t>instance('especies')/root/item[name    =    ${spilha} ]/especie</t>
  </si>
  <si>
    <t>instance('especies')/root/item[name    =    ${spilha} ]/fao</t>
  </si>
  <si>
    <t>if(position(..) = 1,                ${nome-local1},        
if(position(..) = 2,                ${nome-local2},        
if(position(..) = 3,                ${nome-local3},        
if(position(..) = 4,                ${nome-local4},        
if(position(..) = 5,                ${nome-local5},        
if(position(..) = 6,                ${nome-local6},        
if(position(..) = 7,                ${nome-local7},        
if(position(..) = 8,                ${nome-local8},        
if(position(..) = 9,                ${nome-local9},        
if(position(..) = 10,                ${nome-local10},        
if(position(..) = 11,                ${nome-local11},        
if(position(..) = 12,                ${nome-local12},        
if(position(..) = 13,                ${nome-local13},        
if(position(..) = 14,                ${nome-local14},        
if(position(..) = 15,                ${nome-local15},        
if(position(..) = 16,                ${nome-local16}, ""
))))))))))))))))</t>
  </si>
  <si>
    <t>if(position(..) = 1,                ${spilha1},        
if(position(..) = 2,                ${spilha2},        
if(position(..) = 3,                ${spilha3},        
if(position(..) = 4,                ${spilha4},        
if(position(..) = 5,                ${spilha5},        
if(position(..) = 6,                ${spilha6},        
if(position(..) = 7,                ${spilha7},        
if(position(..) = 8,                ${spilha8},        
if(position(..) = 9,                ${spilha9},        
if(position(..) = 10,                ${spilha10},        
if(position(..) = 11,                ${spilha11},        
if(position(..) = 12,                ${spilha12},        
if(position(..) = 13,                ${spilha13},        
if(position(..) = 14,                ${spilha14},        
if(position(..) = 15,                ${spilha15},        
if(position(..) = 16,                ${spilha16}, ""
))))))))))))))))</t>
  </si>
  <si>
    <t>if(position(..) = 1,                if(${n-obr} = 'obrigatorio',       ${numero-ob1},     ${numero-naoob1}),        
if(position(..) = 2,                if(${n-obr} = 'obrigatorio',       ${numero-ob2},     ${numero-naoob2}),        
if(position(..) = 3,                if(${n-obr} = 'obrigatorio',       ${numero-ob3},     ${numero-naoob3}),        
if(position(..) = 4,                if(${n-obr} = 'obrigatorio',       ${numero-ob4},     ${numero-naoob4}),        
if(position(..) = 5,                if(${n-obr} = 'obrigatorio',       ${numero-ob5},     ${numero-naoob5}),        
if(position(..) = 6,                if(${n-obr} = 'obrigatorio',       ${numero-ob6},     ${numero-naoob6}), 
if(position(..) = 7,                if(${n-obr} = 'obrigatorio',       ${numero-ob7},     ${numero-naoob7}),
if(position(..) = 8,                if(${n-obr} = 'obrigatorio',       ${numero-ob8},     ${numero-naoob8}),
if(position(..) = 9,                if(${n-obr} = 'obrigatorio',       ${numero-ob9},     ${numero-naoob9}),
if(position(..) = 10,                if(${n-obr} = 'obrigatorio',       ${numero-ob10},     ${numero-naoob10}),        
if(position(..) = 11,                if(${n-obr} = 'obrigatorio',       ${numero-ob11},     ${numero-naoob11}),        
if(position(..) = 12,                if(${n-obr} = 'obrigatorio',       ${numero-ob12},     ${numero-naoob12}),        
if(position(..) = 13,                if(${n-obr} = 'obrigatorio',       ${numero-ob13},     ${numero-naoob13}),        
if(position(..) = 14,                if(${n-obr} = 'obrigatorio',       ${numero-ob14},     ${numero-naoob14}),        
if(position(..) = 15,                if(${n-obr} = 'obrigatorio',       ${numero-ob15},     ${numero-naoob15}),        
if(position(..) = 16,                if(${n-obr} = 'obrigatorio',       ${numero-ob16},     ${numero-naoob16}), ""
))))))))))))))))</t>
  </si>
  <si>
    <t>if(position(..) = 1,                if(${p-obr} = 'obrigatorio',       ${peso-ob1},     ${peso-naoob1}),        
if(position(..) = 2,                if(${p-obr} = 'obrigatorio',       ${peso-ob2},     ${peso-naoob2}),        
if(position(..) = 3,                if(${p-obr} = 'obrigatorio',       ${peso-ob3},     ${peso-naoob3}),        
if(position(..) = 4,                if(${p-obr} = 'obrigatorio',       ${peso-ob4},     ${peso-naoob4}),        
if(position(..) = 5,                if(${p-obr} = 'obrigatorio',       ${peso-ob5},     ${peso-naoob5}),        
if(position(..) = 6,                if(${p-obr} = 'obrigatorio',       ${peso-ob6},     ${peso-naoob6}), 
if(position(..) = 7,                if(${p-obr} = 'obrigatorio',       ${peso-ob7},     ${peso-naoob7}),
if(position(..) = 8,                if(${p-obr} = 'obrigatorio',       ${peso-ob8},     ${peso-naoob8}),
if(position(..) = 9,                if(${p-obr} = 'obrigatorio',       ${peso-ob9},     ${peso-naoob9}),
if(position(..) = 10,                if(${p-obr} = 'obrigatorio',       ${peso-ob10},     ${peso-naoob10}),        
if(position(..) = 11,                if(${p-obr} = 'obrigatorio',       ${peso-ob11},     ${peso-naoob11}),        
if(position(..) = 12,                if(${p-obr} = 'obrigatorio',       ${peso-ob12},     ${peso-naoob12}),        
if(position(..) = 13,                if(${p-obr} = 'obrigatorio',       ${peso-ob13},     ${peso-naoob13}),        
if(position(..) = 14,                if(${p-obr} = 'obrigatorio',       ${peso-ob14},     ${peso-naoob14}),        
if(position(..) = 15,                if(${p-obr} = 'obrigatorio',       ${peso-ob15},     ${peso-naoob15}),        
if(position(..) = 16,                if(${p-obr} = 'obrigatorio',       ${peso-ob16},     ${peso-naoob16}), ""
))))))))))))))))</t>
  </si>
  <si>
    <t>if(position(..) = 1,                ${uso1},        
if(position(..) = 2,                ${uso2},        
if(position(..) = 3,                ${uso3},        
if(position(..) = 4,                ${uso4},        
if(position(..) = 5,                ${uso5},        
if(position(..) = 6,                ${uso6},        
if(position(..) = 7,                ${uso7},        
if(position(..) = 8,                ${uso8},        
if(position(..) = 9,                ${uso9},        
if(position(..) = 10,                ${uso10},        
if(position(..) = 11,                ${uso11},        
if(position(..) = 12,                ${uso12},        
if(position(..) = 13,                ${uso13},        
if(position(..) = 14,                ${uso14},        
if(position(..) = 15,                ${uso15},        
if(position(..) = 16,                ${uso16}, ""
))))))))))))))))</t>
  </si>
  <si>
    <t>if(position(..) = 1,                ${preco1},        
if(position(..) = 2,                ${preco2},        
if(position(..) = 3,                ${preco3},        
if(position(..) = 4,                ${preco4},        
if(position(..) = 5,                ${preco5},        
if(position(..) = 6,                ${preco6},        
if(position(..) = 7,                ${preco7},        
if(position(..) = 8,                ${preco8},        
if(position(..) = 9,                ${preco9},        
if(position(..) = 10,                ${preco10},        
if(position(..) = 11,                ${preco11},        
if(position(..) = 12,                ${preco12},        
if(position(..) = 13,                ${preco13},        
if(position(..) = 14,                ${preco14},        
if(position(..) = 15,                ${preco15},        
if(position(..) = 16,                ${preco16}, ""
))))))))))))))))</t>
  </si>
  <si>
    <t>if(position(..) = 1,                ${unidade-preco1},        
if(position(..) = 2,                ${unidade-preco2},        
if(position(..) = 3,                ${unidade-preco3},        
if(position(..) = 4,                ${unidade-preco4},        
if(position(..) = 5,                ${unidade-preco5},        
if(position(..) = 6,                ${unidade-preco6},        
if(position(..) = 7,                ${unidade-preco7},        
if(position(..) = 8,                ${unidade-preco8},        
if(position(..) = 9,                ${unidade-preco9},        
if(position(..) = 10,                ${unidade-preco10},        
if(position(..) = 11,                ${unidade-preco11},        
if(position(..) = 12,                ${unidade-preco12},        
if(position(..) = 13,                ${unidade-preco13},        
if(position(..) = 14,                ${unidade-preco14},        
if(position(..) = 15,                ${unidade-preco15},        
if(position(..) = 16,                ${unidade-preco16}, ""
))))))))))))))))</t>
  </si>
  <si>
    <t>Semi-industrial (cariocos ou traineras)</t>
  </si>
  <si>
    <t>Artesanal (canoas, praos ou botes)</t>
  </si>
  <si>
    <t>Dario de Sousa Vaz Campo</t>
  </si>
  <si>
    <t>Claudio.Antonio.S.Vila.Nova</t>
  </si>
  <si>
    <t>Aurelio.Lourenco.Doze.da.Cruz</t>
  </si>
  <si>
    <t>Novembro 2024</t>
  </si>
  <si>
    <t>gasolina-apagar</t>
  </si>
  <si>
    <t>petroleo-apagar</t>
  </si>
  <si>
    <t>gasoleo-apagar</t>
  </si>
  <si>
    <t>oleo-motor-apagar</t>
  </si>
  <si>
    <t>if(selected(${propulsao},'motor'), ${oleo-motor-apagar}, 0)</t>
  </si>
  <si>
    <t>TCHINTCHIN 1</t>
  </si>
  <si>
    <t>LINGUADO 1</t>
  </si>
  <si>
    <t>LINGUADO 2</t>
  </si>
  <si>
    <t>LINGUADO 3</t>
  </si>
  <si>
    <t>RAIA 1</t>
  </si>
  <si>
    <t>TCHINTCHIN 2</t>
  </si>
  <si>
    <t>BOCA CURTO</t>
  </si>
  <si>
    <t>SABONETE VERMELHO 1</t>
  </si>
  <si>
    <t>PEIXE PORCO 1</t>
  </si>
  <si>
    <t>RONCADOR DE FUNDO 1</t>
  </si>
  <si>
    <t>SABONETE VERMELHO 2</t>
  </si>
  <si>
    <t>BULHAO PAPAGAIO 1</t>
  </si>
  <si>
    <t>TUBARAO PEIXE</t>
  </si>
  <si>
    <t>PATA PATA 1</t>
  </si>
  <si>
    <t>BULHAO PAPAGAIO 2</t>
  </si>
  <si>
    <t>RAIA 2</t>
  </si>
  <si>
    <t>PATA PATA 2</t>
  </si>
  <si>
    <t>PATA PATA 3</t>
  </si>
  <si>
    <t>RONCADOR DE FUNDO 2</t>
  </si>
  <si>
    <t>TUBARAO 1</t>
  </si>
  <si>
    <t>PEIXE PORCO 2</t>
  </si>
  <si>
    <t>TUBARAO 2</t>
  </si>
  <si>
    <t>AGULHA SOMBRA</t>
  </si>
  <si>
    <t>nomelocal_unico</t>
  </si>
  <si>
    <t>Boca curto</t>
  </si>
  <si>
    <t>Makaira-nigricans-STP.png</t>
  </si>
  <si>
    <t>Tubarão peixe</t>
  </si>
  <si>
    <t>Xiphias-gladiussaotome</t>
  </si>
  <si>
    <t>Agulha sombra</t>
  </si>
  <si>
    <t>Xiphias-gladius-STP.png</t>
  </si>
  <si>
    <t>Xiphias gladius</t>
  </si>
  <si>
    <t>SWO</t>
  </si>
  <si>
    <t>Kajikia-albidasaotome</t>
  </si>
  <si>
    <t>Kajikia-albida-STP.png</t>
  </si>
  <si>
    <t>Kajikia albida</t>
  </si>
  <si>
    <t>WHM</t>
  </si>
  <si>
    <t>Xiphias-gladiusprincipe</t>
  </si>
  <si>
    <t>Kajikia-albidaprincipe</t>
  </si>
  <si>
    <t>nomelocal-apagar</t>
  </si>
  <si>
    <t>if(${especie} = 'OUTRO-PEIXE', ${nomelocal-apagar}, instance('especies')/root/item[name    =    ${spilha} ]/nomelocal_unico)</t>
  </si>
  <si>
    <t>distrito-origem</t>
  </si>
  <si>
    <t>distrito-desembarque</t>
  </si>
  <si>
    <t>Parente</t>
  </si>
  <si>
    <t>Spicara-spp-STP.png</t>
  </si>
  <si>
    <t>PARENTE</t>
  </si>
  <si>
    <t>fotografia</t>
  </si>
  <si>
    <t>if(position(..) = 1,                ${fotografia1},        
if(position(..) = 2,                ${fotografia2},        
if(position(..) = 3,                ${fotografia3},        
if(position(..) = 4,                ${fotografia4},        
if(position(..) = 5,                ${fotografia5},        
if(position(..) = 6,                ${fotografia6},        
if(position(..) = 7,                ${fotografia7},        
if(position(..) = 8,                ${fotografia8},        
if(position(..) = 9,                ${fotografia9},        
if(position(..) = 10,                ${fotografia10},        
if(position(..) = 11,                ${fotografia11},        
if(position(..) = 12,                ${fotografia12},        
if(position(..) = 13,                ${fotografia13},        
if(position(..) = 14,                ${fotografia14},        
if(position(..) = 15,                ${fotografia15},        
if(position(..) = 16,                ${fotografia16}, ""
))))))))))))))))</t>
  </si>
  <si>
    <t>Cantherhines-sppsaotome</t>
  </si>
  <si>
    <t>Asno Mefoboncon</t>
  </si>
  <si>
    <t>Cantherhines-spp-STP.png</t>
  </si>
  <si>
    <t>ASNO MEFOBONCON</t>
  </si>
  <si>
    <t>Cantherhines spp</t>
  </si>
  <si>
    <t>sintra / atum judeu / cintra</t>
  </si>
  <si>
    <t>Cantherhines-sppprincipe</t>
  </si>
  <si>
    <t>distrito = ${distrito-desembarque}</t>
  </si>
  <si>
    <t>Nelito.Lopes</t>
  </si>
  <si>
    <t>Nelito Lopes</t>
  </si>
  <si>
    <t>ALADA</t>
  </si>
  <si>
    <t>BLOLO</t>
  </si>
  <si>
    <t>TUBARAO MAE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</si>
</sst>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40404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B94A4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4" fillId="0" borderId="2" xfId="0" applyFont="1" applyBorder="1"/>
    <xf numFmtId="0" fontId="2" fillId="0" borderId="2" xfId="0" applyFont="1" applyBorder="1"/>
    <xf numFmtId="0" fontId="0" fillId="0" borderId="2" xfId="0" applyBorder="1"/>
    <xf numFmtId="0" fontId="8" fillId="3" borderId="2" xfId="0" applyFont="1" applyFill="1" applyBorder="1"/>
    <xf numFmtId="0" fontId="6" fillId="3" borderId="2" xfId="0" applyFont="1" applyFill="1" applyBorder="1"/>
    <xf numFmtId="0" fontId="7" fillId="3" borderId="2" xfId="0" applyFont="1" applyFill="1" applyBorder="1"/>
    <xf numFmtId="0" fontId="9" fillId="0" borderId="2" xfId="0" applyFont="1" applyBorder="1"/>
    <xf numFmtId="0" fontId="10" fillId="0" borderId="2" xfId="0" applyFont="1" applyBorder="1"/>
    <xf numFmtId="0" fontId="11" fillId="0" borderId="2" xfId="0" applyFont="1" applyBorder="1"/>
    <xf numFmtId="0" fontId="12" fillId="0" borderId="0" xfId="0" applyFont="1"/>
    <xf numFmtId="0" fontId="2" fillId="0" borderId="0" xfId="0" applyFont="1"/>
    <xf numFmtId="0" fontId="9" fillId="0" borderId="0" xfId="0" applyFont="1"/>
    <xf numFmtId="0" fontId="0" fillId="2" borderId="2" xfId="0" applyFill="1" applyBorder="1"/>
    <xf numFmtId="0" fontId="3" fillId="0" borderId="2" xfId="0" applyFont="1" applyBorder="1"/>
    <xf numFmtId="0" fontId="5" fillId="0" borderId="2" xfId="0" applyFont="1" applyBorder="1"/>
    <xf numFmtId="0" fontId="4" fillId="2" borderId="2" xfId="0" applyFont="1" applyFill="1" applyBorder="1"/>
    <xf numFmtId="0" fontId="2" fillId="2" borderId="2" xfId="0" applyFont="1" applyFill="1" applyBorder="1"/>
    <xf numFmtId="0" fontId="9" fillId="2" borderId="2" xfId="0" applyFont="1" applyFill="1" applyBorder="1"/>
    <xf numFmtId="0" fontId="11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/>
    <xf numFmtId="0" fontId="9" fillId="0" borderId="0" xfId="0" applyFont="1" applyAlignment="1">
      <alignment horizontal="left"/>
    </xf>
    <xf numFmtId="0" fontId="9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9" fillId="0" borderId="4" xfId="0" applyFont="1" applyBorder="1"/>
    <xf numFmtId="17" fontId="0" fillId="0" borderId="0" xfId="0" applyNumberFormat="1"/>
    <xf numFmtId="0" fontId="0" fillId="0" borderId="2" xfId="0" quotePrefix="1" applyBorder="1"/>
    <xf numFmtId="0" fontId="8" fillId="5" borderId="2" xfId="0" applyFont="1" applyFill="1" applyBorder="1"/>
    <xf numFmtId="0" fontId="6" fillId="5" borderId="2" xfId="0" applyFont="1" applyFill="1" applyBorder="1"/>
    <xf numFmtId="0" fontId="7" fillId="5" borderId="2" xfId="0" applyFont="1" applyFill="1" applyBorder="1"/>
    <xf numFmtId="0" fontId="4" fillId="6" borderId="2" xfId="0" applyFont="1" applyFill="1" applyBorder="1"/>
    <xf numFmtId="0" fontId="3" fillId="6" borderId="2" xfId="0" applyFont="1" applyFill="1" applyBorder="1"/>
    <xf numFmtId="0" fontId="2" fillId="6" borderId="2" xfId="0" applyFont="1" applyFill="1" applyBorder="1"/>
    <xf numFmtId="0" fontId="0" fillId="6" borderId="2" xfId="0" applyFill="1" applyBorder="1"/>
    <xf numFmtId="0" fontId="9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5C14-9E52-4AB4-911F-10C6EDD60CF9}">
  <dimension ref="A1:L443"/>
  <sheetViews>
    <sheetView topLeftCell="B1" zoomScale="82" zoomScaleNormal="110" workbookViewId="0">
      <pane ySplit="1" topLeftCell="A373" activePane="bottomLeft" state="frozen"/>
      <selection pane="bottomLeft" activeCell="D382" sqref="D382"/>
    </sheetView>
  </sheetViews>
  <sheetFormatPr defaultRowHeight="14.4" x14ac:dyDescent="0.3"/>
  <cols>
    <col min="1" max="1" width="26.5546875" style="2" bestFit="1" customWidth="1"/>
    <col min="2" max="2" width="24.88671875" style="3" bestFit="1" customWidth="1"/>
    <col min="3" max="3" width="55" style="4" bestFit="1" customWidth="1"/>
    <col min="4" max="4" width="40.6640625" style="4" customWidth="1"/>
    <col min="5" max="5" width="13.33203125" style="4" customWidth="1"/>
    <col min="6" max="6" width="14.33203125" style="8" customWidth="1"/>
    <col min="7" max="7" width="12.44140625" style="4" customWidth="1"/>
    <col min="8" max="8" width="12" style="4" customWidth="1"/>
    <col min="9" max="9" width="8.6640625" style="4" bestFit="1" customWidth="1"/>
    <col min="10" max="10" width="52.88671875" style="4" customWidth="1"/>
    <col min="11" max="11" width="18.109375" style="4" customWidth="1"/>
  </cols>
  <sheetData>
    <row r="1" spans="1:11" s="12" customFormat="1" x14ac:dyDescent="0.3">
      <c r="A1" s="15" t="s">
        <v>0</v>
      </c>
      <c r="B1" s="3" t="s">
        <v>1</v>
      </c>
      <c r="C1" s="3" t="s">
        <v>110</v>
      </c>
      <c r="D1" s="3" t="s">
        <v>10</v>
      </c>
      <c r="E1" s="3" t="s">
        <v>8</v>
      </c>
      <c r="F1" s="10" t="s">
        <v>40</v>
      </c>
      <c r="G1" s="3" t="s">
        <v>5</v>
      </c>
      <c r="H1" s="3" t="s">
        <v>6</v>
      </c>
      <c r="I1" s="3" t="s">
        <v>7</v>
      </c>
      <c r="J1" s="3" t="s">
        <v>196</v>
      </c>
      <c r="K1" s="3" t="s">
        <v>234</v>
      </c>
    </row>
    <row r="2" spans="1:11" s="12" customFormat="1" x14ac:dyDescent="0.3">
      <c r="A2" s="2" t="s">
        <v>195</v>
      </c>
      <c r="B2" s="3" t="s">
        <v>1256</v>
      </c>
      <c r="C2" s="3"/>
      <c r="D2" s="3"/>
      <c r="E2" s="3"/>
      <c r="F2" s="10"/>
      <c r="G2" s="3"/>
      <c r="H2" s="3"/>
      <c r="I2" s="3"/>
      <c r="J2" s="4" t="s">
        <v>1255</v>
      </c>
      <c r="K2" s="4"/>
    </row>
    <row r="3" spans="1:11" s="12" customFormat="1" x14ac:dyDescent="0.3">
      <c r="A3" s="2" t="s">
        <v>432</v>
      </c>
      <c r="B3" s="3" t="s">
        <v>433</v>
      </c>
      <c r="C3" s="4" t="s">
        <v>434</v>
      </c>
      <c r="D3" s="3"/>
      <c r="E3" s="3"/>
      <c r="F3" s="10"/>
      <c r="G3" s="3"/>
      <c r="H3" s="3"/>
      <c r="I3" s="4" t="s">
        <v>14</v>
      </c>
      <c r="J3" s="3"/>
      <c r="K3" s="3"/>
    </row>
    <row r="4" spans="1:11" s="12" customFormat="1" x14ac:dyDescent="0.3">
      <c r="A4" s="9" t="s">
        <v>216</v>
      </c>
      <c r="B4" s="3" t="s">
        <v>217</v>
      </c>
      <c r="C4" s="8" t="s">
        <v>218</v>
      </c>
      <c r="D4" s="3"/>
      <c r="E4" s="3"/>
      <c r="F4" s="3"/>
      <c r="G4" s="3"/>
      <c r="H4" s="3"/>
      <c r="I4" s="4" t="s">
        <v>14</v>
      </c>
      <c r="J4" s="3"/>
      <c r="K4" s="3"/>
    </row>
    <row r="5" spans="1:11" s="12" customFormat="1" x14ac:dyDescent="0.3">
      <c r="A5" s="9" t="s">
        <v>366</v>
      </c>
      <c r="B5" s="3" t="s">
        <v>796</v>
      </c>
      <c r="C5" s="8" t="s">
        <v>367</v>
      </c>
      <c r="D5" s="8" t="s">
        <v>429</v>
      </c>
      <c r="E5" s="3"/>
      <c r="F5" s="8" t="s">
        <v>1260</v>
      </c>
      <c r="G5" s="3"/>
      <c r="H5" s="3"/>
      <c r="I5" s="4" t="s">
        <v>14</v>
      </c>
      <c r="J5" s="3"/>
      <c r="K5" s="3"/>
    </row>
    <row r="6" spans="1:11" s="12" customFormat="1" x14ac:dyDescent="0.3">
      <c r="A6" s="9" t="s">
        <v>195</v>
      </c>
      <c r="B6" s="3" t="s">
        <v>1510</v>
      </c>
      <c r="G6" s="3"/>
      <c r="H6" s="3"/>
      <c r="J6" s="8" t="s">
        <v>797</v>
      </c>
      <c r="K6" s="8"/>
    </row>
    <row r="7" spans="1:11" s="13" customFormat="1" x14ac:dyDescent="0.3">
      <c r="A7" s="9" t="s">
        <v>365</v>
      </c>
      <c r="B7" s="10" t="s">
        <v>1250</v>
      </c>
      <c r="C7" s="8" t="s">
        <v>1251</v>
      </c>
      <c r="D7" s="8"/>
      <c r="E7" s="8"/>
      <c r="F7" s="8" t="s">
        <v>1523</v>
      </c>
      <c r="G7" s="8"/>
      <c r="H7" s="8"/>
      <c r="I7" s="8" t="s">
        <v>14</v>
      </c>
      <c r="J7" s="8"/>
      <c r="K7" s="8"/>
    </row>
    <row r="8" spans="1:11" s="13" customFormat="1" x14ac:dyDescent="0.3">
      <c r="A8" s="9" t="s">
        <v>808</v>
      </c>
      <c r="B8" s="10" t="s">
        <v>806</v>
      </c>
      <c r="C8" s="8" t="s">
        <v>368</v>
      </c>
      <c r="D8" s="8"/>
      <c r="E8" s="8"/>
      <c r="F8" s="8"/>
      <c r="G8" s="8"/>
      <c r="H8" s="8"/>
      <c r="I8" s="8" t="s">
        <v>14</v>
      </c>
      <c r="J8" s="8"/>
      <c r="K8" s="8"/>
    </row>
    <row r="9" spans="1:11" s="13" customFormat="1" x14ac:dyDescent="0.3">
      <c r="A9" s="9" t="s">
        <v>3</v>
      </c>
      <c r="B9" s="10" t="s">
        <v>807</v>
      </c>
      <c r="C9" s="8" t="s">
        <v>368</v>
      </c>
      <c r="D9" s="8" t="s">
        <v>966</v>
      </c>
      <c r="E9" s="8"/>
      <c r="F9" s="8"/>
      <c r="G9" s="8"/>
      <c r="H9" s="8"/>
      <c r="I9" s="8" t="s">
        <v>14</v>
      </c>
      <c r="J9" s="8"/>
      <c r="K9" s="8"/>
    </row>
    <row r="10" spans="1:11" s="13" customFormat="1" x14ac:dyDescent="0.3">
      <c r="A10" s="9" t="s">
        <v>195</v>
      </c>
      <c r="B10" s="10" t="s">
        <v>364</v>
      </c>
      <c r="C10" s="8"/>
      <c r="D10" s="8"/>
      <c r="E10" s="8"/>
      <c r="F10" s="8"/>
      <c r="G10" s="8"/>
      <c r="H10" s="8"/>
      <c r="I10" s="8"/>
      <c r="J10" s="8" t="s">
        <v>809</v>
      </c>
      <c r="K10" s="8"/>
    </row>
    <row r="11" spans="1:11" x14ac:dyDescent="0.3">
      <c r="A11" s="17" t="s">
        <v>11</v>
      </c>
      <c r="B11" s="18" t="s">
        <v>1443</v>
      </c>
      <c r="C11" s="18" t="s">
        <v>1442</v>
      </c>
      <c r="D11" s="14"/>
      <c r="E11" s="14" t="s">
        <v>25</v>
      </c>
      <c r="F11" s="19"/>
      <c r="G11" s="14"/>
      <c r="H11" s="14"/>
      <c r="I11" s="14"/>
      <c r="J11" s="14"/>
      <c r="K11" s="14"/>
    </row>
    <row r="12" spans="1:11" s="13" customFormat="1" x14ac:dyDescent="0.3">
      <c r="A12" s="9" t="s">
        <v>9</v>
      </c>
      <c r="B12" s="10" t="s">
        <v>16</v>
      </c>
      <c r="C12" s="8" t="s">
        <v>997</v>
      </c>
      <c r="D12" s="8"/>
      <c r="E12" s="8"/>
      <c r="F12" s="8"/>
      <c r="G12" s="8" t="s">
        <v>1228</v>
      </c>
      <c r="H12" s="8"/>
      <c r="I12" s="8" t="s">
        <v>14</v>
      </c>
      <c r="J12" s="8"/>
      <c r="K12" s="8"/>
    </row>
    <row r="13" spans="1:11" s="13" customFormat="1" x14ac:dyDescent="0.3">
      <c r="A13" s="9" t="s">
        <v>17</v>
      </c>
      <c r="B13" s="10" t="s">
        <v>223</v>
      </c>
      <c r="C13" s="8" t="s">
        <v>369</v>
      </c>
      <c r="D13" s="8"/>
      <c r="E13" s="8"/>
      <c r="F13" s="8"/>
      <c r="G13" s="8"/>
      <c r="H13" s="8"/>
      <c r="I13" s="8" t="s">
        <v>14</v>
      </c>
      <c r="J13" s="8"/>
      <c r="K13" s="8"/>
    </row>
    <row r="14" spans="1:11" x14ac:dyDescent="0.3">
      <c r="A14" s="17" t="s">
        <v>21</v>
      </c>
      <c r="B14" s="18"/>
      <c r="C14" s="18"/>
      <c r="D14" s="14"/>
      <c r="E14" s="14"/>
      <c r="F14" s="19"/>
      <c r="G14" s="14"/>
      <c r="H14" s="14"/>
      <c r="I14" s="14"/>
      <c r="J14" s="14"/>
      <c r="K14" s="14"/>
    </row>
    <row r="15" spans="1:11" x14ac:dyDescent="0.3">
      <c r="A15" s="17" t="s">
        <v>11</v>
      </c>
      <c r="B15" s="18" t="s">
        <v>1445</v>
      </c>
      <c r="C15" s="18" t="s">
        <v>1444</v>
      </c>
      <c r="D15" s="14"/>
      <c r="E15" s="14" t="s">
        <v>25</v>
      </c>
      <c r="F15" s="19"/>
      <c r="G15" s="14"/>
      <c r="H15" s="14"/>
      <c r="I15" s="14"/>
      <c r="J15" s="14"/>
      <c r="K15" s="14"/>
    </row>
    <row r="16" spans="1:11" s="13" customFormat="1" x14ac:dyDescent="0.3">
      <c r="A16" s="9" t="s">
        <v>235</v>
      </c>
      <c r="B16" s="10" t="s">
        <v>231</v>
      </c>
      <c r="C16" s="8" t="s">
        <v>18</v>
      </c>
      <c r="D16" s="8"/>
      <c r="E16" s="8"/>
      <c r="F16" s="8" t="s">
        <v>798</v>
      </c>
      <c r="G16" s="8"/>
      <c r="H16" s="8"/>
      <c r="I16" s="8" t="s">
        <v>14</v>
      </c>
      <c r="J16" s="8"/>
      <c r="K16" s="8"/>
    </row>
    <row r="17" spans="1:12" s="13" customFormat="1" x14ac:dyDescent="0.3">
      <c r="A17" s="9" t="s">
        <v>1258</v>
      </c>
      <c r="B17" s="10" t="s">
        <v>799</v>
      </c>
      <c r="C17" s="8" t="s">
        <v>225</v>
      </c>
      <c r="D17" s="8" t="s">
        <v>1410</v>
      </c>
      <c r="E17" s="8"/>
      <c r="F17" s="8"/>
      <c r="G17" s="8"/>
      <c r="H17" s="8"/>
      <c r="I17" s="8" t="s">
        <v>14</v>
      </c>
      <c r="J17" s="8"/>
      <c r="K17" s="8"/>
    </row>
    <row r="18" spans="1:12" x14ac:dyDescent="0.3">
      <c r="A18" s="17" t="s">
        <v>21</v>
      </c>
      <c r="B18" s="18"/>
      <c r="C18" s="18"/>
      <c r="D18" s="14"/>
      <c r="E18" s="14"/>
      <c r="F18" s="19"/>
      <c r="G18" s="14"/>
      <c r="H18" s="14"/>
      <c r="I18" s="14"/>
      <c r="J18" s="14"/>
      <c r="K18" s="14"/>
    </row>
    <row r="19" spans="1:12" s="13" customFormat="1" x14ac:dyDescent="0.3">
      <c r="A19" s="9" t="s">
        <v>195</v>
      </c>
      <c r="B19" s="10" t="s">
        <v>232</v>
      </c>
      <c r="C19" s="8"/>
      <c r="D19" s="8"/>
      <c r="E19" s="8"/>
      <c r="F19" s="8"/>
      <c r="G19" s="8"/>
      <c r="H19" s="8"/>
      <c r="I19" s="8"/>
      <c r="J19" s="8" t="s">
        <v>800</v>
      </c>
      <c r="K19" s="8"/>
    </row>
    <row r="20" spans="1:12" s="13" customFormat="1" x14ac:dyDescent="0.3">
      <c r="A20" s="9" t="s">
        <v>4</v>
      </c>
      <c r="B20" s="10" t="s">
        <v>24</v>
      </c>
      <c r="C20" s="8" t="s">
        <v>191</v>
      </c>
      <c r="D20" s="8"/>
      <c r="E20" s="8"/>
      <c r="F20" s="8"/>
      <c r="G20" s="8"/>
      <c r="H20" s="8"/>
      <c r="I20" s="8" t="s">
        <v>14</v>
      </c>
      <c r="J20" s="8"/>
      <c r="K20" s="8"/>
    </row>
    <row r="21" spans="1:12" s="13" customFormat="1" x14ac:dyDescent="0.3">
      <c r="A21" s="9" t="s">
        <v>372</v>
      </c>
      <c r="B21" s="10" t="s">
        <v>1058</v>
      </c>
      <c r="C21" s="29" t="s">
        <v>1060</v>
      </c>
      <c r="D21" s="8"/>
      <c r="E21" s="8"/>
      <c r="F21" s="8" t="s">
        <v>1260</v>
      </c>
      <c r="G21" s="8"/>
      <c r="H21" s="8"/>
      <c r="I21" s="8" t="s">
        <v>14</v>
      </c>
      <c r="J21" s="8"/>
      <c r="K21" s="8"/>
    </row>
    <row r="22" spans="1:12" s="13" customFormat="1" x14ac:dyDescent="0.3">
      <c r="A22" s="9" t="s">
        <v>26</v>
      </c>
      <c r="B22" s="10" t="s">
        <v>1261</v>
      </c>
      <c r="C22" s="4" t="s">
        <v>1262</v>
      </c>
      <c r="D22" s="8"/>
      <c r="E22" s="8"/>
      <c r="F22" s="8"/>
      <c r="G22" s="8"/>
      <c r="H22" s="8"/>
      <c r="I22" s="8" t="s">
        <v>14</v>
      </c>
      <c r="J22" s="8"/>
      <c r="K22" s="8"/>
    </row>
    <row r="23" spans="1:12" s="13" customFormat="1" x14ac:dyDescent="0.3">
      <c r="A23" s="9" t="s">
        <v>365</v>
      </c>
      <c r="B23" s="10" t="s">
        <v>1446</v>
      </c>
      <c r="C23" s="8" t="s">
        <v>1253</v>
      </c>
      <c r="D23" s="8" t="s">
        <v>1263</v>
      </c>
      <c r="E23" s="8" t="s">
        <v>1254</v>
      </c>
      <c r="F23" s="8" t="s">
        <v>1260</v>
      </c>
      <c r="G23" s="8"/>
      <c r="H23" s="8"/>
      <c r="I23" s="8" t="s">
        <v>14</v>
      </c>
      <c r="J23" s="8"/>
      <c r="K23" s="8"/>
    </row>
    <row r="24" spans="1:12" s="13" customFormat="1" x14ac:dyDescent="0.3">
      <c r="A24" s="9" t="s">
        <v>195</v>
      </c>
      <c r="B24" s="10" t="s">
        <v>1252</v>
      </c>
      <c r="C24" s="8"/>
      <c r="D24" s="8"/>
      <c r="E24" s="8"/>
      <c r="F24" s="8"/>
      <c r="G24" s="8"/>
      <c r="H24" s="8"/>
      <c r="I24" s="8"/>
      <c r="J24" s="8" t="s">
        <v>1447</v>
      </c>
      <c r="K24" s="8"/>
    </row>
    <row r="25" spans="1:12" s="13" customFormat="1" x14ac:dyDescent="0.3">
      <c r="A25" s="9" t="s">
        <v>195</v>
      </c>
      <c r="B25" s="10" t="s">
        <v>1509</v>
      </c>
      <c r="C25" s="8"/>
      <c r="D25" s="8"/>
      <c r="E25" s="8"/>
      <c r="F25" s="8"/>
      <c r="G25" s="8"/>
      <c r="H25" s="8"/>
      <c r="I25" s="8"/>
      <c r="J25" s="31" t="str">
        <f>"instance('comunidade')/root/item[name    =    ${"&amp;B24&amp;"} ]/distrito"</f>
        <v>instance('comunidade')/root/item[name    =    ${comunidade-origem} ]/distrito</v>
      </c>
      <c r="K25" s="8"/>
    </row>
    <row r="26" spans="1:12" s="13" customFormat="1" x14ac:dyDescent="0.3">
      <c r="A26" s="9" t="s">
        <v>26</v>
      </c>
      <c r="B26" s="10" t="s">
        <v>229</v>
      </c>
      <c r="C26" s="8" t="s">
        <v>82</v>
      </c>
      <c r="D26" s="8"/>
      <c r="E26" s="8"/>
      <c r="F26" s="8"/>
      <c r="G26" s="8"/>
      <c r="H26" s="8"/>
      <c r="I26" s="8" t="s">
        <v>14</v>
      </c>
      <c r="J26" s="8"/>
      <c r="K26" s="8"/>
      <c r="L26" s="13">
        <v>1</v>
      </c>
    </row>
    <row r="27" spans="1:12" x14ac:dyDescent="0.3">
      <c r="A27" s="32" t="s">
        <v>11</v>
      </c>
      <c r="B27" s="33" t="str">
        <f>"CAPTURAS"&amp;L28</f>
        <v>CAPTURAS1</v>
      </c>
      <c r="C27" s="34" t="str">
        <f>"${nome-local"&amp;L27&amp;"}"</f>
        <v>${nome-local1}</v>
      </c>
      <c r="D27" s="34" t="str">
        <f>"selected(${apanhou-peixe"&amp;IF(L27=1,"",L27-1)&amp;"},'sim')"</f>
        <v>selected(${apanhou-peixe},'sim')</v>
      </c>
      <c r="E27" s="34"/>
      <c r="F27" s="34"/>
      <c r="G27" s="34"/>
      <c r="H27" s="34"/>
      <c r="I27" s="34"/>
      <c r="J27" s="34"/>
      <c r="K27" s="34"/>
      <c r="L27" s="13">
        <f>IF(C26="Apanhou mais algum peixe?", L26+1,L26)</f>
        <v>1</v>
      </c>
    </row>
    <row r="28" spans="1:12" x14ac:dyDescent="0.3">
      <c r="A28" s="9" t="s">
        <v>32</v>
      </c>
      <c r="B28" s="3" t="str">
        <f>"spilha"&amp;L28</f>
        <v>spilha1</v>
      </c>
      <c r="C28" s="8" t="s">
        <v>83</v>
      </c>
      <c r="D28" s="8"/>
      <c r="E28" s="8" t="s">
        <v>1000</v>
      </c>
      <c r="F28" s="8" t="s">
        <v>1260</v>
      </c>
      <c r="G28" s="8"/>
      <c r="H28" s="8"/>
      <c r="I28" s="8" t="s">
        <v>14</v>
      </c>
      <c r="L28" s="13">
        <f t="shared" ref="L28:L48" si="0">IF(C27="Apanhou mais algum peixe?", L27+1,L27)</f>
        <v>1</v>
      </c>
    </row>
    <row r="29" spans="1:12" ht="15.6" x14ac:dyDescent="0.3">
      <c r="A29" s="2" t="s">
        <v>3</v>
      </c>
      <c r="B29" s="3" t="str">
        <f>"outro"&amp;L29</f>
        <v>outro1</v>
      </c>
      <c r="C29" s="8" t="s">
        <v>1046</v>
      </c>
      <c r="D29" s="8" t="str">
        <f>"selected(${"&amp;B28&amp;"},'OUTRO-PEIXEprincipe') or selected(${"&amp;B28&amp;"},'OUTRO-PEIXEsaotome')"</f>
        <v>selected(${spilha1},'OUTRO-PEIXEprincipe') or selected(${spilha1},'OUTRO-PEIXEsaotome')</v>
      </c>
      <c r="E29" s="16"/>
      <c r="L29" s="13">
        <f t="shared" si="0"/>
        <v>1</v>
      </c>
    </row>
    <row r="30" spans="1:12" ht="15.6" x14ac:dyDescent="0.3">
      <c r="A30" s="2" t="s">
        <v>84</v>
      </c>
      <c r="B30" s="3" t="str">
        <f>"fotografia"&amp;L30</f>
        <v>fotografia1</v>
      </c>
      <c r="C30" s="8" t="s">
        <v>1417</v>
      </c>
      <c r="D30" s="8" t="str">
        <f>"selected(${"&amp;B28&amp;"},'OUTRO-PEIXEprincipe') or selected(${"&amp;B28&amp;"},'OUTRO-PEIXEsaotome')"</f>
        <v>selected(${spilha1},'OUTRO-PEIXEprincipe') or selected(${spilha1},'OUTRO-PEIXEsaotome')</v>
      </c>
      <c r="E30" s="16"/>
      <c r="L30" s="13">
        <f t="shared" si="0"/>
        <v>1</v>
      </c>
    </row>
    <row r="31" spans="1:12" ht="15.6" x14ac:dyDescent="0.3">
      <c r="A31" s="2" t="s">
        <v>195</v>
      </c>
      <c r="B31" s="3" t="str">
        <f>"n-obr"&amp;L31</f>
        <v>n-obr1</v>
      </c>
      <c r="C31" s="8"/>
      <c r="D31" s="8"/>
      <c r="E31" s="16"/>
      <c r="J31" s="31" t="str">
        <f>"instance('especies')/root/item[name    =    ${"&amp;B28&amp;"} ]/numero"</f>
        <v>instance('especies')/root/item[name    =    ${spilha1} ]/numero</v>
      </c>
      <c r="K31" s="31"/>
      <c r="L31" s="13">
        <f t="shared" si="0"/>
        <v>1</v>
      </c>
    </row>
    <row r="32" spans="1:12" ht="15.6" x14ac:dyDescent="0.3">
      <c r="A32" s="2" t="s">
        <v>195</v>
      </c>
      <c r="B32" s="3" t="str">
        <f>"p-obr"&amp;L32</f>
        <v>p-obr1</v>
      </c>
      <c r="C32" s="8"/>
      <c r="D32" s="8"/>
      <c r="E32" s="16"/>
      <c r="J32" s="31" t="str">
        <f>"instance('especies')/root/item[name    =    ${"&amp;B28&amp;"} ]/peso"</f>
        <v>instance('especies')/root/item[name    =    ${spilha1} ]/peso</v>
      </c>
      <c r="K32" s="31"/>
      <c r="L32" s="13">
        <f t="shared" si="0"/>
        <v>1</v>
      </c>
    </row>
    <row r="33" spans="1:12" ht="15.6" x14ac:dyDescent="0.3">
      <c r="A33" s="2" t="s">
        <v>195</v>
      </c>
      <c r="B33" s="3" t="str">
        <f>"nome-local"&amp;L33</f>
        <v>nome-local1</v>
      </c>
      <c r="E33" s="16"/>
      <c r="J33" s="4" t="str">
        <f>"if(${"&amp;B28&amp;"} = 'OUTRO-PEIXEprincipe' or ${"&amp;B28&amp;"} = 'OUTRO-PEIXEsaotome' ,       ${"&amp;B29&amp;"},        instance('especies')/root/item[name    =    ${"&amp;B28&amp;"} ]/nomelocal)"</f>
        <v>if(${spilha1} = 'OUTRO-PEIXEprincipe' or ${spilha1} = 'OUTRO-PEIXEsaotome' ,       ${outro1},        instance('especies')/root/item[name    =    ${spilha1} ]/nomelocal)</v>
      </c>
      <c r="L33" s="13">
        <f t="shared" si="0"/>
        <v>1</v>
      </c>
    </row>
    <row r="34" spans="1:12" x14ac:dyDescent="0.3">
      <c r="A34" s="35" t="s">
        <v>11</v>
      </c>
      <c r="B34" s="36" t="str">
        <f>"capA"&amp;L34</f>
        <v>capA1</v>
      </c>
      <c r="C34" s="37" t="str">
        <f>"PESO DE ${nome-local"&amp;L34&amp;"}"</f>
        <v>PESO DE ${nome-local1}</v>
      </c>
      <c r="D34" s="38" t="str">
        <f>"not(selected(${spilha"&amp;L34&amp;"},''))"</f>
        <v>not(selected(${spilha1},''))</v>
      </c>
      <c r="E34" s="38" t="s">
        <v>25</v>
      </c>
      <c r="F34" s="39"/>
      <c r="G34" s="38"/>
      <c r="H34" s="38"/>
      <c r="I34" s="38"/>
      <c r="J34" s="38"/>
      <c r="K34" s="38"/>
      <c r="L34" s="13">
        <f t="shared" si="0"/>
        <v>1</v>
      </c>
    </row>
    <row r="35" spans="1:12" x14ac:dyDescent="0.3">
      <c r="A35" s="2" t="s">
        <v>32</v>
      </c>
      <c r="B35" s="3" t="str">
        <f>"apagar-cA"&amp;L35</f>
        <v>apagar-cA1</v>
      </c>
      <c r="C35" s="4" t="str">
        <f>"${"&amp;B33&amp;"}"</f>
        <v>${nome-local1}</v>
      </c>
      <c r="E35" s="8" t="s">
        <v>132</v>
      </c>
      <c r="F35" s="8" t="str">
        <f>"name =${"&amp;B28&amp;"} or name='espaco'"</f>
        <v>name =${spilha1} or name='espaco'</v>
      </c>
      <c r="L35" s="13">
        <f t="shared" si="0"/>
        <v>1</v>
      </c>
    </row>
    <row r="36" spans="1:12" x14ac:dyDescent="0.3">
      <c r="A36" s="2" t="s">
        <v>4</v>
      </c>
      <c r="B36" s="3" t="str">
        <f>"numero-ob"&amp;L36</f>
        <v>numero-ob1</v>
      </c>
      <c r="C36" s="4" t="str">
        <f>"Numero de peixes de ${"&amp;B33&amp;"}?"</f>
        <v>Numero de peixes de ${nome-local1}?</v>
      </c>
      <c r="D36" s="4" t="str">
        <f>"selected(${"&amp;B31&amp;"},'obrigatorio')"</f>
        <v>selected(${n-obr1},'obrigatorio')</v>
      </c>
      <c r="I36" s="4" t="s">
        <v>14</v>
      </c>
      <c r="J36" s="26"/>
      <c r="K36" s="26"/>
      <c r="L36" s="13">
        <f t="shared" si="0"/>
        <v>1</v>
      </c>
    </row>
    <row r="37" spans="1:12" x14ac:dyDescent="0.3">
      <c r="A37" s="2" t="s">
        <v>4</v>
      </c>
      <c r="B37" s="3" t="str">
        <f>"numero-naoob"&amp;L37</f>
        <v>numero-naoob1</v>
      </c>
      <c r="C37" s="4" t="str">
        <f>"Numero de peixes de ${"&amp;B33&amp;"}?"</f>
        <v>Numero de peixes de ${nome-local1}?</v>
      </c>
      <c r="D37" s="4" t="str">
        <f>"selected(${"&amp;B31&amp;"},'nao-obrigatorio')"</f>
        <v>selected(${n-obr1},'nao-obrigatorio')</v>
      </c>
      <c r="J37" s="26"/>
      <c r="K37" s="26"/>
      <c r="L37" s="13">
        <f t="shared" si="0"/>
        <v>1</v>
      </c>
    </row>
    <row r="38" spans="1:12" x14ac:dyDescent="0.3">
      <c r="A38" s="2" t="s">
        <v>33</v>
      </c>
      <c r="B38" s="3" t="str">
        <f>"peso-ob"&amp;L38</f>
        <v>peso-ob1</v>
      </c>
      <c r="C38" s="4" t="str">
        <f>"Quantos kilos de ${"&amp;B33&amp;"}?"</f>
        <v>Quantos kilos de ${nome-local1}?</v>
      </c>
      <c r="D38" s="4" t="str">
        <f>"selected(${"&amp;B32&amp;"},'obrigatorio')"</f>
        <v>selected(${p-obr1},'obrigatorio')</v>
      </c>
      <c r="I38" s="4" t="s">
        <v>14</v>
      </c>
      <c r="L38" s="13">
        <f t="shared" si="0"/>
        <v>1</v>
      </c>
    </row>
    <row r="39" spans="1:12" x14ac:dyDescent="0.3">
      <c r="A39" s="2" t="s">
        <v>33</v>
      </c>
      <c r="B39" s="3" t="str">
        <f>"peso-naoob"&amp;L39</f>
        <v>peso-naoob1</v>
      </c>
      <c r="C39" s="4" t="str">
        <f>"Quantos kilos de ${"&amp;B33&amp;"}?"</f>
        <v>Quantos kilos de ${nome-local1}?</v>
      </c>
      <c r="D39" s="4" t="str">
        <f>"selected(${"&amp;B32&amp;"},'nao-obrigatorio')"</f>
        <v>selected(${p-obr1},'nao-obrigatorio')</v>
      </c>
      <c r="E39"/>
      <c r="L39" s="13">
        <f t="shared" si="0"/>
        <v>1</v>
      </c>
    </row>
    <row r="40" spans="1:12" x14ac:dyDescent="0.3">
      <c r="A40" s="2" t="s">
        <v>136</v>
      </c>
      <c r="B40" s="3" t="str">
        <f>"uso"&amp;L40</f>
        <v>uso1</v>
      </c>
      <c r="C40" s="4" t="str">
        <f>"O ${"&amp;B33&amp;"} é para consumo, venda, salga ou São Pedro?"</f>
        <v>O ${nome-local1} é para consumo, venda, salga ou São Pedro?</v>
      </c>
      <c r="I40" s="4" t="s">
        <v>14</v>
      </c>
      <c r="L40" s="13">
        <f t="shared" si="0"/>
        <v>1</v>
      </c>
    </row>
    <row r="41" spans="1:12" x14ac:dyDescent="0.3">
      <c r="A41" s="35" t="s">
        <v>21</v>
      </c>
      <c r="B41" s="36"/>
      <c r="C41" s="37"/>
      <c r="D41" s="38"/>
      <c r="E41" s="38"/>
      <c r="F41" s="39"/>
      <c r="G41" s="38"/>
      <c r="H41" s="38"/>
      <c r="I41" s="38"/>
      <c r="J41" s="38"/>
      <c r="K41" s="38"/>
      <c r="L41" s="13">
        <f t="shared" si="0"/>
        <v>1</v>
      </c>
    </row>
    <row r="42" spans="1:12" x14ac:dyDescent="0.3">
      <c r="A42" s="35" t="s">
        <v>11</v>
      </c>
      <c r="B42" s="36" t="str">
        <f>"capB"&amp;L42</f>
        <v>capB1</v>
      </c>
      <c r="C42" s="37" t="str">
        <f>"PREÇO DE ${nome-local"&amp;L42&amp;"}"</f>
        <v>PREÇO DE ${nome-local1}</v>
      </c>
      <c r="D42" s="38" t="str">
        <f>"selected(${"&amp;B40&amp;"},'venda')"</f>
        <v>selected(${uso1},'venda')</v>
      </c>
      <c r="E42" s="38" t="s">
        <v>25</v>
      </c>
      <c r="F42" s="39"/>
      <c r="G42" s="38"/>
      <c r="H42" s="38"/>
      <c r="I42" s="38"/>
      <c r="J42" s="38"/>
      <c r="K42" s="38"/>
      <c r="L42" s="13">
        <f t="shared" si="0"/>
        <v>1</v>
      </c>
    </row>
    <row r="43" spans="1:12" x14ac:dyDescent="0.3">
      <c r="A43" s="2" t="s">
        <v>32</v>
      </c>
      <c r="B43" s="3" t="str">
        <f>"apagar-cB"&amp;L43</f>
        <v>apagar-cB1</v>
      </c>
      <c r="C43" s="4" t="str">
        <f>"PREÇO DE ${"&amp;B33&amp;"}"</f>
        <v>PREÇO DE ${nome-local1}</v>
      </c>
      <c r="E43" s="8" t="s">
        <v>132</v>
      </c>
      <c r="F43" s="8" t="str">
        <f>"name =${"&amp;B28&amp;"} or name='espaco'"</f>
        <v>name =${spilha1} or name='espaco'</v>
      </c>
      <c r="L43" s="13">
        <f t="shared" si="0"/>
        <v>1</v>
      </c>
    </row>
    <row r="44" spans="1:12" x14ac:dyDescent="0.3">
      <c r="A44" s="2" t="s">
        <v>4</v>
      </c>
      <c r="B44" s="3" t="str">
        <f>"preco"&amp;L44</f>
        <v>preco1</v>
      </c>
      <c r="C44" s="4" t="str">
        <f>"Preço de ${"&amp;B33&amp;"}? (em DOBRAS)"</f>
        <v>Preço de ${nome-local1}? (em DOBRAS)</v>
      </c>
      <c r="I44" s="4" t="s">
        <v>14</v>
      </c>
      <c r="L44" s="13">
        <f t="shared" si="0"/>
        <v>1</v>
      </c>
    </row>
    <row r="45" spans="1:12" x14ac:dyDescent="0.3">
      <c r="A45" s="2" t="s">
        <v>39</v>
      </c>
      <c r="B45" s="3" t="str">
        <f>"unidade-preco"&amp;L45</f>
        <v>unidade-preco1</v>
      </c>
      <c r="C45" s="4" t="s">
        <v>60</v>
      </c>
      <c r="I45" s="4" t="s">
        <v>14</v>
      </c>
      <c r="L45" s="13">
        <f t="shared" si="0"/>
        <v>1</v>
      </c>
    </row>
    <row r="46" spans="1:12" ht="15" customHeight="1" x14ac:dyDescent="0.3">
      <c r="A46" s="35" t="s">
        <v>21</v>
      </c>
      <c r="B46" s="36"/>
      <c r="C46" s="37"/>
      <c r="D46" s="38"/>
      <c r="E46" s="38"/>
      <c r="F46" s="39"/>
      <c r="G46" s="38"/>
      <c r="H46" s="38"/>
      <c r="I46" s="38"/>
      <c r="J46" s="38"/>
      <c r="K46" s="38"/>
      <c r="L46" s="13">
        <f t="shared" si="0"/>
        <v>1</v>
      </c>
    </row>
    <row r="47" spans="1:12" x14ac:dyDescent="0.3">
      <c r="A47" s="32" t="s">
        <v>21</v>
      </c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13">
        <f t="shared" si="0"/>
        <v>1</v>
      </c>
    </row>
    <row r="48" spans="1:12" s="13" customFormat="1" x14ac:dyDescent="0.3">
      <c r="A48" s="9" t="s">
        <v>26</v>
      </c>
      <c r="B48" s="3" t="str">
        <f>"apanhou-peixe"&amp;L48</f>
        <v>apanhou-peixe1</v>
      </c>
      <c r="C48" s="8" t="s">
        <v>1269</v>
      </c>
      <c r="D48" s="4" t="str">
        <f>"selected(${apanhou-peixe"&amp;IF(L48=1,"",L48-1)&amp;"},'sim')"</f>
        <v>selected(${apanhou-peixe},'sim')</v>
      </c>
      <c r="E48" s="8"/>
      <c r="F48" s="8"/>
      <c r="G48" s="8"/>
      <c r="H48" s="8"/>
      <c r="I48" s="8" t="s">
        <v>14</v>
      </c>
      <c r="J48" s="8"/>
      <c r="K48" s="8"/>
      <c r="L48" s="13">
        <f t="shared" si="0"/>
        <v>1</v>
      </c>
    </row>
    <row r="49" spans="1:12" x14ac:dyDescent="0.3">
      <c r="A49" s="32" t="s">
        <v>11</v>
      </c>
      <c r="B49" s="33" t="str">
        <f>"CAPTURAS"&amp;L50</f>
        <v>CAPTURAS2</v>
      </c>
      <c r="C49" s="34" t="str">
        <f>"${nome-local"&amp;L49&amp;"}"</f>
        <v>${nome-local2}</v>
      </c>
      <c r="D49" s="34" t="str">
        <f>"selected(${apanhou-peixe"&amp;IF(L49=1,"",L49-1)&amp;"},'sim')"</f>
        <v>selected(${apanhou-peixe1},'sim')</v>
      </c>
      <c r="E49" s="34"/>
      <c r="F49" s="34"/>
      <c r="G49" s="34"/>
      <c r="H49" s="34"/>
      <c r="I49" s="34"/>
      <c r="J49" s="34"/>
      <c r="K49" s="34"/>
      <c r="L49" s="13">
        <f>IF(C48="Apanhou mais algum peixe?", L48+1,L48)</f>
        <v>2</v>
      </c>
    </row>
    <row r="50" spans="1:12" x14ac:dyDescent="0.3">
      <c r="A50" s="9" t="s">
        <v>32</v>
      </c>
      <c r="B50" s="3" t="str">
        <f>"spilha"&amp;L50</f>
        <v>spilha2</v>
      </c>
      <c r="C50" s="8" t="s">
        <v>83</v>
      </c>
      <c r="D50" s="8"/>
      <c r="E50" s="8" t="s">
        <v>1000</v>
      </c>
      <c r="F50" s="8" t="s">
        <v>1260</v>
      </c>
      <c r="G50" s="8"/>
      <c r="H50" s="8"/>
      <c r="I50" s="8" t="s">
        <v>14</v>
      </c>
      <c r="L50" s="13">
        <f t="shared" ref="L50:L70" si="1">IF(C49="Apanhou mais algum peixe?", L49+1,L49)</f>
        <v>2</v>
      </c>
    </row>
    <row r="51" spans="1:12" ht="15.6" x14ac:dyDescent="0.3">
      <c r="A51" s="2" t="s">
        <v>3</v>
      </c>
      <c r="B51" s="3" t="str">
        <f>"outro"&amp;L51</f>
        <v>outro2</v>
      </c>
      <c r="C51" s="8" t="s">
        <v>1046</v>
      </c>
      <c r="D51" s="8" t="str">
        <f>"selected(${"&amp;B50&amp;"},'OUTRO-PEIXEprincipe') or selected(${"&amp;B50&amp;"},'OUTRO-PEIXEsaotome')"</f>
        <v>selected(${spilha2},'OUTRO-PEIXEprincipe') or selected(${spilha2},'OUTRO-PEIXEsaotome')</v>
      </c>
      <c r="E51" s="16"/>
      <c r="L51" s="13">
        <f t="shared" si="1"/>
        <v>2</v>
      </c>
    </row>
    <row r="52" spans="1:12" ht="15.6" x14ac:dyDescent="0.3">
      <c r="A52" s="2" t="s">
        <v>84</v>
      </c>
      <c r="B52" s="3" t="str">
        <f>"fotografia"&amp;L52</f>
        <v>fotografia2</v>
      </c>
      <c r="C52" s="8" t="s">
        <v>1417</v>
      </c>
      <c r="D52" s="8" t="str">
        <f>"selected(${"&amp;B50&amp;"},'OUTRO-PEIXEprincipe') or selected(${"&amp;B50&amp;"},'OUTRO-PEIXEsaotome')"</f>
        <v>selected(${spilha2},'OUTRO-PEIXEprincipe') or selected(${spilha2},'OUTRO-PEIXEsaotome')</v>
      </c>
      <c r="E52" s="16"/>
      <c r="L52" s="13">
        <f t="shared" si="1"/>
        <v>2</v>
      </c>
    </row>
    <row r="53" spans="1:12" ht="15.6" x14ac:dyDescent="0.3">
      <c r="A53" s="2" t="s">
        <v>195</v>
      </c>
      <c r="B53" s="3" t="str">
        <f>"n-obr"&amp;L53</f>
        <v>n-obr2</v>
      </c>
      <c r="C53" s="8"/>
      <c r="D53" s="8"/>
      <c r="E53" s="16"/>
      <c r="J53" s="31" t="str">
        <f>"instance('especies')/root/item[name    =    ${"&amp;B50&amp;"} ]/numero"</f>
        <v>instance('especies')/root/item[name    =    ${spilha2} ]/numero</v>
      </c>
      <c r="K53" s="31"/>
      <c r="L53" s="13">
        <f t="shared" si="1"/>
        <v>2</v>
      </c>
    </row>
    <row r="54" spans="1:12" ht="15.6" x14ac:dyDescent="0.3">
      <c r="A54" s="2" t="s">
        <v>195</v>
      </c>
      <c r="B54" s="3" t="str">
        <f>"p-obr"&amp;L54</f>
        <v>p-obr2</v>
      </c>
      <c r="C54" s="8"/>
      <c r="D54" s="8"/>
      <c r="E54" s="16"/>
      <c r="J54" s="31" t="str">
        <f>"instance('especies')/root/item[name    =    ${"&amp;B50&amp;"} ]/peso"</f>
        <v>instance('especies')/root/item[name    =    ${spilha2} ]/peso</v>
      </c>
      <c r="K54" s="31"/>
      <c r="L54" s="13">
        <f t="shared" si="1"/>
        <v>2</v>
      </c>
    </row>
    <row r="55" spans="1:12" ht="15.6" x14ac:dyDescent="0.3">
      <c r="A55" s="2" t="s">
        <v>195</v>
      </c>
      <c r="B55" s="3" t="str">
        <f>"nome-local"&amp;L55</f>
        <v>nome-local2</v>
      </c>
      <c r="E55" s="16"/>
      <c r="J55" s="4" t="str">
        <f>"if(${"&amp;B50&amp;"} = 'OUTRO-PEIXEprincipe' or ${"&amp;B50&amp;"} = 'OUTRO-PEIXEsaotome' ,       ${"&amp;B51&amp;"},        instance('especies')/root/item[name    =    ${"&amp;B50&amp;"} ]/nomelocal)"</f>
        <v>if(${spilha2} = 'OUTRO-PEIXEprincipe' or ${spilha2} = 'OUTRO-PEIXEsaotome' ,       ${outro2},        instance('especies')/root/item[name    =    ${spilha2} ]/nomelocal)</v>
      </c>
      <c r="L55" s="13">
        <f t="shared" si="1"/>
        <v>2</v>
      </c>
    </row>
    <row r="56" spans="1:12" x14ac:dyDescent="0.3">
      <c r="A56" s="35" t="s">
        <v>11</v>
      </c>
      <c r="B56" s="36" t="str">
        <f>"capA"&amp;L56</f>
        <v>capA2</v>
      </c>
      <c r="C56" s="37" t="str">
        <f>"PESO DE ${nome-local"&amp;L56&amp;"}"</f>
        <v>PESO DE ${nome-local2}</v>
      </c>
      <c r="D56" s="38" t="str">
        <f>"not(selected(${spilha"&amp;L56&amp;"},''))"</f>
        <v>not(selected(${spilha2},''))</v>
      </c>
      <c r="E56" s="38" t="s">
        <v>25</v>
      </c>
      <c r="F56" s="39"/>
      <c r="G56" s="38"/>
      <c r="H56" s="38"/>
      <c r="I56" s="38"/>
      <c r="J56" s="38"/>
      <c r="K56" s="38"/>
      <c r="L56" s="13">
        <f t="shared" si="1"/>
        <v>2</v>
      </c>
    </row>
    <row r="57" spans="1:12" x14ac:dyDescent="0.3">
      <c r="A57" s="2" t="s">
        <v>32</v>
      </c>
      <c r="B57" s="3" t="str">
        <f>"apagar-cA"&amp;L57</f>
        <v>apagar-cA2</v>
      </c>
      <c r="C57" s="4" t="str">
        <f>"${"&amp;B55&amp;"}"</f>
        <v>${nome-local2}</v>
      </c>
      <c r="E57" s="8" t="s">
        <v>132</v>
      </c>
      <c r="F57" s="8" t="str">
        <f>"name =${"&amp;B50&amp;"} or name='espaco'"</f>
        <v>name =${spilha2} or name='espaco'</v>
      </c>
      <c r="L57" s="13">
        <f t="shared" si="1"/>
        <v>2</v>
      </c>
    </row>
    <row r="58" spans="1:12" x14ac:dyDescent="0.3">
      <c r="A58" s="2" t="s">
        <v>4</v>
      </c>
      <c r="B58" s="3" t="str">
        <f>"numero-ob"&amp;L58</f>
        <v>numero-ob2</v>
      </c>
      <c r="C58" s="4" t="str">
        <f>"Numero de peixes de ${"&amp;B55&amp;"}?"</f>
        <v>Numero de peixes de ${nome-local2}?</v>
      </c>
      <c r="D58" s="4" t="str">
        <f>"selected(${"&amp;B53&amp;"},'obrigatorio')"</f>
        <v>selected(${n-obr2},'obrigatorio')</v>
      </c>
      <c r="I58" s="4" t="s">
        <v>14</v>
      </c>
      <c r="J58" s="26"/>
      <c r="K58" s="26"/>
      <c r="L58" s="13">
        <f t="shared" si="1"/>
        <v>2</v>
      </c>
    </row>
    <row r="59" spans="1:12" x14ac:dyDescent="0.3">
      <c r="A59" s="2" t="s">
        <v>4</v>
      </c>
      <c r="B59" s="3" t="str">
        <f>"numero-naoob"&amp;L59</f>
        <v>numero-naoob2</v>
      </c>
      <c r="C59" s="4" t="str">
        <f>"Numero de peixes de ${"&amp;B55&amp;"}?"</f>
        <v>Numero de peixes de ${nome-local2}?</v>
      </c>
      <c r="D59" s="4" t="str">
        <f>"selected(${"&amp;B53&amp;"},'nao-obrigatorio')"</f>
        <v>selected(${n-obr2},'nao-obrigatorio')</v>
      </c>
      <c r="J59" s="26"/>
      <c r="K59" s="26"/>
      <c r="L59" s="13">
        <f t="shared" si="1"/>
        <v>2</v>
      </c>
    </row>
    <row r="60" spans="1:12" x14ac:dyDescent="0.3">
      <c r="A60" s="2" t="s">
        <v>33</v>
      </c>
      <c r="B60" s="3" t="str">
        <f>"peso-ob"&amp;L60</f>
        <v>peso-ob2</v>
      </c>
      <c r="C60" s="4" t="str">
        <f>"Quantos kilos de ${"&amp;B55&amp;"}?"</f>
        <v>Quantos kilos de ${nome-local2}?</v>
      </c>
      <c r="D60" s="4" t="str">
        <f>"selected(${"&amp;B54&amp;"},'obrigatorio')"</f>
        <v>selected(${p-obr2},'obrigatorio')</v>
      </c>
      <c r="I60" s="4" t="s">
        <v>14</v>
      </c>
      <c r="L60" s="13">
        <f t="shared" si="1"/>
        <v>2</v>
      </c>
    </row>
    <row r="61" spans="1:12" x14ac:dyDescent="0.3">
      <c r="A61" s="2" t="s">
        <v>33</v>
      </c>
      <c r="B61" s="3" t="str">
        <f>"peso-naoob"&amp;L61</f>
        <v>peso-naoob2</v>
      </c>
      <c r="C61" s="4" t="str">
        <f>"Quantos kilos de ${"&amp;B55&amp;"}?"</f>
        <v>Quantos kilos de ${nome-local2}?</v>
      </c>
      <c r="D61" s="4" t="str">
        <f>"selected(${"&amp;B54&amp;"},'nao-obrigatorio')"</f>
        <v>selected(${p-obr2},'nao-obrigatorio')</v>
      </c>
      <c r="E61"/>
      <c r="L61" s="13">
        <f t="shared" si="1"/>
        <v>2</v>
      </c>
    </row>
    <row r="62" spans="1:12" x14ac:dyDescent="0.3">
      <c r="A62" s="2" t="s">
        <v>136</v>
      </c>
      <c r="B62" s="3" t="str">
        <f>"uso"&amp;L62</f>
        <v>uso2</v>
      </c>
      <c r="C62" s="4" t="str">
        <f>"O ${"&amp;B55&amp;"} é para consumo, venda, salga ou São Pedro?"</f>
        <v>O ${nome-local2} é para consumo, venda, salga ou São Pedro?</v>
      </c>
      <c r="I62" s="4" t="s">
        <v>14</v>
      </c>
      <c r="L62" s="13">
        <f t="shared" si="1"/>
        <v>2</v>
      </c>
    </row>
    <row r="63" spans="1:12" x14ac:dyDescent="0.3">
      <c r="A63" s="35" t="s">
        <v>21</v>
      </c>
      <c r="B63" s="36"/>
      <c r="C63" s="37"/>
      <c r="D63" s="38"/>
      <c r="E63" s="38"/>
      <c r="F63" s="39"/>
      <c r="G63" s="38"/>
      <c r="H63" s="38"/>
      <c r="I63" s="38"/>
      <c r="J63" s="38"/>
      <c r="K63" s="38"/>
      <c r="L63" s="13">
        <f t="shared" si="1"/>
        <v>2</v>
      </c>
    </row>
    <row r="64" spans="1:12" x14ac:dyDescent="0.3">
      <c r="A64" s="35" t="s">
        <v>11</v>
      </c>
      <c r="B64" s="36" t="str">
        <f>"capB"&amp;L64</f>
        <v>capB2</v>
      </c>
      <c r="C64" s="37" t="str">
        <f>"PREÇO DE ${nome-local"&amp;L64&amp;"}"</f>
        <v>PREÇO DE ${nome-local2}</v>
      </c>
      <c r="D64" s="38" t="str">
        <f>"selected(${"&amp;B62&amp;"},'venda')"</f>
        <v>selected(${uso2},'venda')</v>
      </c>
      <c r="E64" s="38" t="s">
        <v>25</v>
      </c>
      <c r="F64" s="39"/>
      <c r="G64" s="38"/>
      <c r="H64" s="38"/>
      <c r="I64" s="38"/>
      <c r="J64" s="38"/>
      <c r="K64" s="38"/>
      <c r="L64" s="13">
        <f t="shared" si="1"/>
        <v>2</v>
      </c>
    </row>
    <row r="65" spans="1:12" x14ac:dyDescent="0.3">
      <c r="A65" s="2" t="s">
        <v>32</v>
      </c>
      <c r="B65" s="3" t="str">
        <f>"apagar-cB"&amp;L65</f>
        <v>apagar-cB2</v>
      </c>
      <c r="C65" s="4" t="str">
        <f>"PREÇO DE ${"&amp;B55&amp;"}"</f>
        <v>PREÇO DE ${nome-local2}</v>
      </c>
      <c r="E65" s="8" t="s">
        <v>132</v>
      </c>
      <c r="F65" s="8" t="str">
        <f>"name =${"&amp;B50&amp;"} or name='espaco'"</f>
        <v>name =${spilha2} or name='espaco'</v>
      </c>
      <c r="L65" s="13">
        <f t="shared" si="1"/>
        <v>2</v>
      </c>
    </row>
    <row r="66" spans="1:12" x14ac:dyDescent="0.3">
      <c r="A66" s="2" t="s">
        <v>4</v>
      </c>
      <c r="B66" s="3" t="str">
        <f>"preco"&amp;L66</f>
        <v>preco2</v>
      </c>
      <c r="C66" s="4" t="str">
        <f>"Preço de ${"&amp;B55&amp;"}? (em DOBRAS)"</f>
        <v>Preço de ${nome-local2}? (em DOBRAS)</v>
      </c>
      <c r="I66" s="4" t="s">
        <v>14</v>
      </c>
      <c r="L66" s="13">
        <f t="shared" si="1"/>
        <v>2</v>
      </c>
    </row>
    <row r="67" spans="1:12" x14ac:dyDescent="0.3">
      <c r="A67" s="2" t="s">
        <v>39</v>
      </c>
      <c r="B67" s="3" t="str">
        <f>"unidade-preco"&amp;L67</f>
        <v>unidade-preco2</v>
      </c>
      <c r="C67" s="4" t="s">
        <v>60</v>
      </c>
      <c r="I67" s="4" t="s">
        <v>14</v>
      </c>
      <c r="L67" s="13">
        <f t="shared" si="1"/>
        <v>2</v>
      </c>
    </row>
    <row r="68" spans="1:12" ht="15" customHeight="1" x14ac:dyDescent="0.3">
      <c r="A68" s="35" t="s">
        <v>21</v>
      </c>
      <c r="B68" s="36"/>
      <c r="C68" s="37"/>
      <c r="D68" s="38"/>
      <c r="E68" s="38"/>
      <c r="F68" s="39"/>
      <c r="G68" s="38"/>
      <c r="H68" s="38"/>
      <c r="I68" s="38"/>
      <c r="J68" s="38"/>
      <c r="K68" s="38"/>
      <c r="L68" s="13">
        <f t="shared" si="1"/>
        <v>2</v>
      </c>
    </row>
    <row r="69" spans="1:12" x14ac:dyDescent="0.3">
      <c r="A69" s="32" t="s">
        <v>21</v>
      </c>
      <c r="B69" s="33"/>
      <c r="C69" s="34"/>
      <c r="D69" s="34"/>
      <c r="E69" s="34"/>
      <c r="F69" s="34"/>
      <c r="G69" s="34"/>
      <c r="H69" s="34"/>
      <c r="I69" s="34"/>
      <c r="J69" s="34"/>
      <c r="K69" s="34"/>
      <c r="L69" s="13">
        <f t="shared" si="1"/>
        <v>2</v>
      </c>
    </row>
    <row r="70" spans="1:12" s="13" customFormat="1" x14ac:dyDescent="0.3">
      <c r="A70" s="9" t="s">
        <v>26</v>
      </c>
      <c r="B70" s="3" t="str">
        <f>"apanhou-peixe"&amp;L70</f>
        <v>apanhou-peixe2</v>
      </c>
      <c r="C70" s="8" t="s">
        <v>1269</v>
      </c>
      <c r="D70" s="4" t="str">
        <f>"selected(${apanhou-peixe"&amp;IF(L70=1,"",L70-1)&amp;"},'sim')"</f>
        <v>selected(${apanhou-peixe1},'sim')</v>
      </c>
      <c r="E70" s="8"/>
      <c r="F70" s="8"/>
      <c r="G70" s="8"/>
      <c r="H70" s="8"/>
      <c r="I70" s="8" t="s">
        <v>14</v>
      </c>
      <c r="J70" s="8"/>
      <c r="K70" s="8"/>
      <c r="L70" s="13">
        <f t="shared" si="1"/>
        <v>2</v>
      </c>
    </row>
    <row r="71" spans="1:12" x14ac:dyDescent="0.3">
      <c r="A71" s="32" t="s">
        <v>11</v>
      </c>
      <c r="B71" s="33" t="str">
        <f>"CAPTURAS"&amp;L72</f>
        <v>CAPTURAS3</v>
      </c>
      <c r="C71" s="34" t="str">
        <f>"${nome-local"&amp;L71&amp;"}"</f>
        <v>${nome-local3}</v>
      </c>
      <c r="D71" s="34" t="str">
        <f>"selected(${apanhou-peixe"&amp;IF(L71=1,"",L71-1)&amp;"},'sim')"</f>
        <v>selected(${apanhou-peixe2},'sim')</v>
      </c>
      <c r="E71" s="34"/>
      <c r="F71" s="34"/>
      <c r="G71" s="34"/>
      <c r="H71" s="34"/>
      <c r="I71" s="34"/>
      <c r="J71" s="34"/>
      <c r="K71" s="34"/>
      <c r="L71" s="13">
        <f>IF(C70="Apanhou mais algum peixe?", L70+1,L70)</f>
        <v>3</v>
      </c>
    </row>
    <row r="72" spans="1:12" x14ac:dyDescent="0.3">
      <c r="A72" s="9" t="s">
        <v>32</v>
      </c>
      <c r="B72" s="3" t="str">
        <f>"spilha"&amp;L72</f>
        <v>spilha3</v>
      </c>
      <c r="C72" s="8" t="s">
        <v>83</v>
      </c>
      <c r="D72" s="8"/>
      <c r="E72" s="8" t="s">
        <v>1000</v>
      </c>
      <c r="F72" s="8" t="s">
        <v>1260</v>
      </c>
      <c r="G72" s="8"/>
      <c r="H72" s="8"/>
      <c r="I72" s="8" t="s">
        <v>14</v>
      </c>
      <c r="L72" s="13">
        <f t="shared" ref="L72:L92" si="2">IF(C71="Apanhou mais algum peixe?", L71+1,L71)</f>
        <v>3</v>
      </c>
    </row>
    <row r="73" spans="1:12" ht="15.6" x14ac:dyDescent="0.3">
      <c r="A73" s="2" t="s">
        <v>3</v>
      </c>
      <c r="B73" s="3" t="str">
        <f>"outro"&amp;L73</f>
        <v>outro3</v>
      </c>
      <c r="C73" s="8" t="s">
        <v>1046</v>
      </c>
      <c r="D73" s="8" t="str">
        <f>"selected(${"&amp;B72&amp;"},'OUTRO-PEIXEprincipe') or selected(${"&amp;B72&amp;"},'OUTRO-PEIXEsaotome')"</f>
        <v>selected(${spilha3},'OUTRO-PEIXEprincipe') or selected(${spilha3},'OUTRO-PEIXEsaotome')</v>
      </c>
      <c r="E73" s="16"/>
      <c r="L73" s="13">
        <f t="shared" si="2"/>
        <v>3</v>
      </c>
    </row>
    <row r="74" spans="1:12" ht="15.6" x14ac:dyDescent="0.3">
      <c r="A74" s="2" t="s">
        <v>84</v>
      </c>
      <c r="B74" s="3" t="str">
        <f>"fotografia"&amp;L74</f>
        <v>fotografia3</v>
      </c>
      <c r="C74" s="8" t="s">
        <v>1417</v>
      </c>
      <c r="D74" s="8" t="str">
        <f>"selected(${"&amp;B72&amp;"},'OUTRO-PEIXEprincipe') or selected(${"&amp;B72&amp;"},'OUTRO-PEIXEsaotome')"</f>
        <v>selected(${spilha3},'OUTRO-PEIXEprincipe') or selected(${spilha3},'OUTRO-PEIXEsaotome')</v>
      </c>
      <c r="E74" s="16"/>
      <c r="L74" s="13">
        <f t="shared" si="2"/>
        <v>3</v>
      </c>
    </row>
    <row r="75" spans="1:12" ht="15.6" x14ac:dyDescent="0.3">
      <c r="A75" s="2" t="s">
        <v>195</v>
      </c>
      <c r="B75" s="3" t="str">
        <f>"n-obr"&amp;L75</f>
        <v>n-obr3</v>
      </c>
      <c r="C75" s="8"/>
      <c r="D75" s="8"/>
      <c r="E75" s="16"/>
      <c r="J75" s="31" t="str">
        <f>"instance('especies')/root/item[name    =    ${"&amp;B72&amp;"} ]/numero"</f>
        <v>instance('especies')/root/item[name    =    ${spilha3} ]/numero</v>
      </c>
      <c r="K75" s="31"/>
      <c r="L75" s="13">
        <f t="shared" si="2"/>
        <v>3</v>
      </c>
    </row>
    <row r="76" spans="1:12" ht="15.6" x14ac:dyDescent="0.3">
      <c r="A76" s="2" t="s">
        <v>195</v>
      </c>
      <c r="B76" s="3" t="str">
        <f>"p-obr"&amp;L76</f>
        <v>p-obr3</v>
      </c>
      <c r="C76" s="8"/>
      <c r="D76" s="8"/>
      <c r="E76" s="16"/>
      <c r="J76" s="31" t="str">
        <f>"instance('especies')/root/item[name    =    ${"&amp;B72&amp;"} ]/peso"</f>
        <v>instance('especies')/root/item[name    =    ${spilha3} ]/peso</v>
      </c>
      <c r="K76" s="31"/>
      <c r="L76" s="13">
        <f t="shared" si="2"/>
        <v>3</v>
      </c>
    </row>
    <row r="77" spans="1:12" ht="15.6" x14ac:dyDescent="0.3">
      <c r="A77" s="2" t="s">
        <v>195</v>
      </c>
      <c r="B77" s="3" t="str">
        <f>"nome-local"&amp;L77</f>
        <v>nome-local3</v>
      </c>
      <c r="E77" s="16"/>
      <c r="J77" s="4" t="str">
        <f>"if(${"&amp;B72&amp;"} = 'OUTRO-PEIXEprincipe' or ${"&amp;B72&amp;"} = 'OUTRO-PEIXEsaotome' ,       ${"&amp;B73&amp;"},        instance('especies')/root/item[name    =    ${"&amp;B72&amp;"} ]/nomelocal)"</f>
        <v>if(${spilha3} = 'OUTRO-PEIXEprincipe' or ${spilha3} = 'OUTRO-PEIXEsaotome' ,       ${outro3},        instance('especies')/root/item[name    =    ${spilha3} ]/nomelocal)</v>
      </c>
      <c r="L77" s="13">
        <f t="shared" si="2"/>
        <v>3</v>
      </c>
    </row>
    <row r="78" spans="1:12" x14ac:dyDescent="0.3">
      <c r="A78" s="35" t="s">
        <v>11</v>
      </c>
      <c r="B78" s="36" t="str">
        <f>"capA"&amp;L78</f>
        <v>capA3</v>
      </c>
      <c r="C78" s="37" t="str">
        <f>"PESO DE ${nome-local"&amp;L78&amp;"}"</f>
        <v>PESO DE ${nome-local3}</v>
      </c>
      <c r="D78" s="38" t="str">
        <f>"not(selected(${spilha"&amp;L78&amp;"},''))"</f>
        <v>not(selected(${spilha3},''))</v>
      </c>
      <c r="E78" s="38" t="s">
        <v>25</v>
      </c>
      <c r="F78" s="39"/>
      <c r="G78" s="38"/>
      <c r="H78" s="38"/>
      <c r="I78" s="38"/>
      <c r="J78" s="38"/>
      <c r="K78" s="38"/>
      <c r="L78" s="13">
        <f t="shared" si="2"/>
        <v>3</v>
      </c>
    </row>
    <row r="79" spans="1:12" x14ac:dyDescent="0.3">
      <c r="A79" s="2" t="s">
        <v>32</v>
      </c>
      <c r="B79" s="3" t="str">
        <f>"apagar-cA"&amp;L79</f>
        <v>apagar-cA3</v>
      </c>
      <c r="C79" s="4" t="str">
        <f>"${"&amp;B77&amp;"}"</f>
        <v>${nome-local3}</v>
      </c>
      <c r="E79" s="8" t="s">
        <v>132</v>
      </c>
      <c r="F79" s="8" t="str">
        <f>"name =${"&amp;B72&amp;"} or name='espaco'"</f>
        <v>name =${spilha3} or name='espaco'</v>
      </c>
      <c r="L79" s="13">
        <f t="shared" si="2"/>
        <v>3</v>
      </c>
    </row>
    <row r="80" spans="1:12" x14ac:dyDescent="0.3">
      <c r="A80" s="2" t="s">
        <v>4</v>
      </c>
      <c r="B80" s="3" t="str">
        <f>"numero-ob"&amp;L80</f>
        <v>numero-ob3</v>
      </c>
      <c r="C80" s="4" t="str">
        <f>"Numero de peixes de ${"&amp;B77&amp;"}?"</f>
        <v>Numero de peixes de ${nome-local3}?</v>
      </c>
      <c r="D80" s="4" t="str">
        <f>"selected(${"&amp;B75&amp;"},'obrigatorio')"</f>
        <v>selected(${n-obr3},'obrigatorio')</v>
      </c>
      <c r="I80" s="4" t="s">
        <v>14</v>
      </c>
      <c r="J80" s="26"/>
      <c r="K80" s="26"/>
      <c r="L80" s="13">
        <f t="shared" si="2"/>
        <v>3</v>
      </c>
    </row>
    <row r="81" spans="1:12" x14ac:dyDescent="0.3">
      <c r="A81" s="2" t="s">
        <v>4</v>
      </c>
      <c r="B81" s="3" t="str">
        <f>"numero-naoob"&amp;L81</f>
        <v>numero-naoob3</v>
      </c>
      <c r="C81" s="4" t="str">
        <f>"Numero de peixes de ${"&amp;B77&amp;"}?"</f>
        <v>Numero de peixes de ${nome-local3}?</v>
      </c>
      <c r="D81" s="4" t="str">
        <f>"selected(${"&amp;B75&amp;"},'nao-obrigatorio')"</f>
        <v>selected(${n-obr3},'nao-obrigatorio')</v>
      </c>
      <c r="J81" s="26"/>
      <c r="K81" s="26"/>
      <c r="L81" s="13">
        <f t="shared" si="2"/>
        <v>3</v>
      </c>
    </row>
    <row r="82" spans="1:12" x14ac:dyDescent="0.3">
      <c r="A82" s="2" t="s">
        <v>33</v>
      </c>
      <c r="B82" s="3" t="str">
        <f>"peso-ob"&amp;L82</f>
        <v>peso-ob3</v>
      </c>
      <c r="C82" s="4" t="str">
        <f>"Quantos kilos de ${"&amp;B77&amp;"}?"</f>
        <v>Quantos kilos de ${nome-local3}?</v>
      </c>
      <c r="D82" s="4" t="str">
        <f>"selected(${"&amp;B76&amp;"},'obrigatorio')"</f>
        <v>selected(${p-obr3},'obrigatorio')</v>
      </c>
      <c r="I82" s="4" t="s">
        <v>14</v>
      </c>
      <c r="L82" s="13">
        <f t="shared" si="2"/>
        <v>3</v>
      </c>
    </row>
    <row r="83" spans="1:12" x14ac:dyDescent="0.3">
      <c r="A83" s="2" t="s">
        <v>33</v>
      </c>
      <c r="B83" s="3" t="str">
        <f>"peso-naoob"&amp;L83</f>
        <v>peso-naoob3</v>
      </c>
      <c r="C83" s="4" t="str">
        <f>"Quantos kilos de ${"&amp;B77&amp;"}?"</f>
        <v>Quantos kilos de ${nome-local3}?</v>
      </c>
      <c r="D83" s="4" t="str">
        <f>"selected(${"&amp;B76&amp;"},'nao-obrigatorio')"</f>
        <v>selected(${p-obr3},'nao-obrigatorio')</v>
      </c>
      <c r="E83"/>
      <c r="L83" s="13">
        <f t="shared" si="2"/>
        <v>3</v>
      </c>
    </row>
    <row r="84" spans="1:12" x14ac:dyDescent="0.3">
      <c r="A84" s="2" t="s">
        <v>136</v>
      </c>
      <c r="B84" s="3" t="str">
        <f>"uso"&amp;L84</f>
        <v>uso3</v>
      </c>
      <c r="C84" s="4" t="str">
        <f>"O ${"&amp;B77&amp;"} é para consumo, venda, salga ou São Pedro?"</f>
        <v>O ${nome-local3} é para consumo, venda, salga ou São Pedro?</v>
      </c>
      <c r="I84" s="4" t="s">
        <v>14</v>
      </c>
      <c r="L84" s="13">
        <f t="shared" si="2"/>
        <v>3</v>
      </c>
    </row>
    <row r="85" spans="1:12" x14ac:dyDescent="0.3">
      <c r="A85" s="35" t="s">
        <v>21</v>
      </c>
      <c r="B85" s="36"/>
      <c r="C85" s="37"/>
      <c r="D85" s="38"/>
      <c r="E85" s="38"/>
      <c r="F85" s="39"/>
      <c r="G85" s="38"/>
      <c r="H85" s="38"/>
      <c r="I85" s="38"/>
      <c r="J85" s="38"/>
      <c r="K85" s="38"/>
      <c r="L85" s="13">
        <f t="shared" si="2"/>
        <v>3</v>
      </c>
    </row>
    <row r="86" spans="1:12" x14ac:dyDescent="0.3">
      <c r="A86" s="35" t="s">
        <v>11</v>
      </c>
      <c r="B86" s="36" t="str">
        <f>"capB"&amp;L86</f>
        <v>capB3</v>
      </c>
      <c r="C86" s="37" t="str">
        <f>"PREÇO DE ${nome-local"&amp;L86&amp;"}"</f>
        <v>PREÇO DE ${nome-local3}</v>
      </c>
      <c r="D86" s="38" t="str">
        <f>"selected(${"&amp;B84&amp;"},'venda')"</f>
        <v>selected(${uso3},'venda')</v>
      </c>
      <c r="E86" s="38" t="s">
        <v>25</v>
      </c>
      <c r="F86" s="39"/>
      <c r="G86" s="38"/>
      <c r="H86" s="38"/>
      <c r="I86" s="38"/>
      <c r="J86" s="38"/>
      <c r="K86" s="38"/>
      <c r="L86" s="13">
        <f t="shared" si="2"/>
        <v>3</v>
      </c>
    </row>
    <row r="87" spans="1:12" x14ac:dyDescent="0.3">
      <c r="A87" s="2" t="s">
        <v>32</v>
      </c>
      <c r="B87" s="3" t="str">
        <f>"apagar-cB"&amp;L87</f>
        <v>apagar-cB3</v>
      </c>
      <c r="C87" s="4" t="str">
        <f>"PREÇO DE ${"&amp;B77&amp;"}"</f>
        <v>PREÇO DE ${nome-local3}</v>
      </c>
      <c r="E87" s="8" t="s">
        <v>132</v>
      </c>
      <c r="F87" s="8" t="str">
        <f>"name =${"&amp;B72&amp;"} or name='espaco'"</f>
        <v>name =${spilha3} or name='espaco'</v>
      </c>
      <c r="L87" s="13">
        <f t="shared" si="2"/>
        <v>3</v>
      </c>
    </row>
    <row r="88" spans="1:12" x14ac:dyDescent="0.3">
      <c r="A88" s="2" t="s">
        <v>4</v>
      </c>
      <c r="B88" s="3" t="str">
        <f>"preco"&amp;L88</f>
        <v>preco3</v>
      </c>
      <c r="C88" s="4" t="str">
        <f>"Preço de ${"&amp;B77&amp;"}? (em DOBRAS)"</f>
        <v>Preço de ${nome-local3}? (em DOBRAS)</v>
      </c>
      <c r="I88" s="4" t="s">
        <v>14</v>
      </c>
      <c r="L88" s="13">
        <f t="shared" si="2"/>
        <v>3</v>
      </c>
    </row>
    <row r="89" spans="1:12" x14ac:dyDescent="0.3">
      <c r="A89" s="2" t="s">
        <v>39</v>
      </c>
      <c r="B89" s="3" t="str">
        <f>"unidade-preco"&amp;L89</f>
        <v>unidade-preco3</v>
      </c>
      <c r="C89" s="4" t="s">
        <v>60</v>
      </c>
      <c r="I89" s="4" t="s">
        <v>14</v>
      </c>
      <c r="L89" s="13">
        <f t="shared" si="2"/>
        <v>3</v>
      </c>
    </row>
    <row r="90" spans="1:12" ht="15" customHeight="1" x14ac:dyDescent="0.3">
      <c r="A90" s="35" t="s">
        <v>21</v>
      </c>
      <c r="B90" s="36"/>
      <c r="C90" s="37"/>
      <c r="D90" s="38"/>
      <c r="E90" s="38"/>
      <c r="F90" s="39"/>
      <c r="G90" s="38"/>
      <c r="H90" s="38"/>
      <c r="I90" s="38"/>
      <c r="J90" s="38"/>
      <c r="K90" s="38"/>
      <c r="L90" s="13">
        <f t="shared" si="2"/>
        <v>3</v>
      </c>
    </row>
    <row r="91" spans="1:12" x14ac:dyDescent="0.3">
      <c r="A91" s="32" t="s">
        <v>21</v>
      </c>
      <c r="B91" s="33"/>
      <c r="C91" s="34"/>
      <c r="D91" s="34"/>
      <c r="E91" s="34"/>
      <c r="F91" s="34"/>
      <c r="G91" s="34"/>
      <c r="H91" s="34"/>
      <c r="I91" s="34"/>
      <c r="J91" s="34"/>
      <c r="K91" s="34"/>
      <c r="L91" s="13">
        <f t="shared" si="2"/>
        <v>3</v>
      </c>
    </row>
    <row r="92" spans="1:12" s="13" customFormat="1" x14ac:dyDescent="0.3">
      <c r="A92" s="9" t="s">
        <v>26</v>
      </c>
      <c r="B92" s="3" t="str">
        <f>"apanhou-peixe"&amp;L92</f>
        <v>apanhou-peixe3</v>
      </c>
      <c r="C92" s="8" t="s">
        <v>1269</v>
      </c>
      <c r="D92" s="4" t="str">
        <f>"selected(${apanhou-peixe"&amp;IF(L92=1,"",L92-1)&amp;"},'sim')"</f>
        <v>selected(${apanhou-peixe2},'sim')</v>
      </c>
      <c r="E92" s="8"/>
      <c r="F92" s="8"/>
      <c r="G92" s="8"/>
      <c r="H92" s="8"/>
      <c r="I92" s="8" t="s">
        <v>14</v>
      </c>
      <c r="J92" s="8"/>
      <c r="K92" s="8"/>
      <c r="L92" s="13">
        <f t="shared" si="2"/>
        <v>3</v>
      </c>
    </row>
    <row r="93" spans="1:12" x14ac:dyDescent="0.3">
      <c r="A93" s="32" t="s">
        <v>11</v>
      </c>
      <c r="B93" s="33" t="str">
        <f>"CAPTURAS"&amp;L94</f>
        <v>CAPTURAS4</v>
      </c>
      <c r="C93" s="34" t="str">
        <f>"${nome-local"&amp;L93&amp;"}"</f>
        <v>${nome-local4}</v>
      </c>
      <c r="D93" s="34" t="str">
        <f>"selected(${apanhou-peixe"&amp;IF(L93=1,"",L93-1)&amp;"},'sim')"</f>
        <v>selected(${apanhou-peixe3},'sim')</v>
      </c>
      <c r="E93" s="34"/>
      <c r="F93" s="34"/>
      <c r="G93" s="34"/>
      <c r="H93" s="34"/>
      <c r="I93" s="34"/>
      <c r="J93" s="34"/>
      <c r="K93" s="34"/>
      <c r="L93" s="13">
        <f>IF(C92="Apanhou mais algum peixe?", L92+1,L92)</f>
        <v>4</v>
      </c>
    </row>
    <row r="94" spans="1:12" x14ac:dyDescent="0.3">
      <c r="A94" s="9" t="s">
        <v>32</v>
      </c>
      <c r="B94" s="3" t="str">
        <f>"spilha"&amp;L94</f>
        <v>spilha4</v>
      </c>
      <c r="C94" s="8" t="s">
        <v>83</v>
      </c>
      <c r="D94" s="8"/>
      <c r="E94" s="8" t="s">
        <v>1000</v>
      </c>
      <c r="F94" s="8" t="s">
        <v>1260</v>
      </c>
      <c r="G94" s="8"/>
      <c r="H94" s="8"/>
      <c r="I94" s="8" t="s">
        <v>14</v>
      </c>
      <c r="L94" s="13">
        <f t="shared" ref="L94:L114" si="3">IF(C93="Apanhou mais algum peixe?", L93+1,L93)</f>
        <v>4</v>
      </c>
    </row>
    <row r="95" spans="1:12" ht="15.6" x14ac:dyDescent="0.3">
      <c r="A95" s="2" t="s">
        <v>3</v>
      </c>
      <c r="B95" s="3" t="str">
        <f>"outro"&amp;L95</f>
        <v>outro4</v>
      </c>
      <c r="C95" s="8" t="s">
        <v>1046</v>
      </c>
      <c r="D95" s="8" t="str">
        <f>"selected(${"&amp;B94&amp;"},'OUTRO-PEIXEprincipe') or selected(${"&amp;B94&amp;"},'OUTRO-PEIXEsaotome')"</f>
        <v>selected(${spilha4},'OUTRO-PEIXEprincipe') or selected(${spilha4},'OUTRO-PEIXEsaotome')</v>
      </c>
      <c r="E95" s="16"/>
      <c r="L95" s="13">
        <f t="shared" si="3"/>
        <v>4</v>
      </c>
    </row>
    <row r="96" spans="1:12" ht="15.6" x14ac:dyDescent="0.3">
      <c r="A96" s="2" t="s">
        <v>84</v>
      </c>
      <c r="B96" s="3" t="str">
        <f>"fotografia"&amp;L96</f>
        <v>fotografia4</v>
      </c>
      <c r="C96" s="8" t="s">
        <v>1417</v>
      </c>
      <c r="D96" s="8" t="str">
        <f>"selected(${"&amp;B94&amp;"},'OUTRO-PEIXEprincipe') or selected(${"&amp;B94&amp;"},'OUTRO-PEIXEsaotome')"</f>
        <v>selected(${spilha4},'OUTRO-PEIXEprincipe') or selected(${spilha4},'OUTRO-PEIXEsaotome')</v>
      </c>
      <c r="E96" s="16"/>
      <c r="L96" s="13">
        <f t="shared" si="3"/>
        <v>4</v>
      </c>
    </row>
    <row r="97" spans="1:12" ht="15.6" x14ac:dyDescent="0.3">
      <c r="A97" s="2" t="s">
        <v>195</v>
      </c>
      <c r="B97" s="3" t="str">
        <f>"n-obr"&amp;L97</f>
        <v>n-obr4</v>
      </c>
      <c r="C97" s="8"/>
      <c r="D97" s="8"/>
      <c r="E97" s="16"/>
      <c r="J97" s="31" t="str">
        <f>"instance('especies')/root/item[name    =    ${"&amp;B94&amp;"} ]/numero"</f>
        <v>instance('especies')/root/item[name    =    ${spilha4} ]/numero</v>
      </c>
      <c r="K97" s="31"/>
      <c r="L97" s="13">
        <f t="shared" si="3"/>
        <v>4</v>
      </c>
    </row>
    <row r="98" spans="1:12" ht="15.6" x14ac:dyDescent="0.3">
      <c r="A98" s="2" t="s">
        <v>195</v>
      </c>
      <c r="B98" s="3" t="str">
        <f>"p-obr"&amp;L98</f>
        <v>p-obr4</v>
      </c>
      <c r="C98" s="8"/>
      <c r="D98" s="8"/>
      <c r="E98" s="16"/>
      <c r="J98" s="31" t="str">
        <f>"instance('especies')/root/item[name    =    ${"&amp;B94&amp;"} ]/peso"</f>
        <v>instance('especies')/root/item[name    =    ${spilha4} ]/peso</v>
      </c>
      <c r="K98" s="31"/>
      <c r="L98" s="13">
        <f t="shared" si="3"/>
        <v>4</v>
      </c>
    </row>
    <row r="99" spans="1:12" ht="15.6" x14ac:dyDescent="0.3">
      <c r="A99" s="2" t="s">
        <v>195</v>
      </c>
      <c r="B99" s="3" t="str">
        <f>"nome-local"&amp;L99</f>
        <v>nome-local4</v>
      </c>
      <c r="E99" s="16"/>
      <c r="J99" s="4" t="str">
        <f>"if(${"&amp;B94&amp;"} = 'OUTRO-PEIXEprincipe' or ${"&amp;B94&amp;"} = 'OUTRO-PEIXEsaotome' ,       ${"&amp;B95&amp;"},        instance('especies')/root/item[name    =    ${"&amp;B94&amp;"} ]/nomelocal)"</f>
        <v>if(${spilha4} = 'OUTRO-PEIXEprincipe' or ${spilha4} = 'OUTRO-PEIXEsaotome' ,       ${outro4},        instance('especies')/root/item[name    =    ${spilha4} ]/nomelocal)</v>
      </c>
      <c r="L99" s="13">
        <f t="shared" si="3"/>
        <v>4</v>
      </c>
    </row>
    <row r="100" spans="1:12" x14ac:dyDescent="0.3">
      <c r="A100" s="35" t="s">
        <v>11</v>
      </c>
      <c r="B100" s="36" t="str">
        <f>"capA"&amp;L100</f>
        <v>capA4</v>
      </c>
      <c r="C100" s="37" t="str">
        <f>"PESO DE ${nome-local"&amp;L100&amp;"}"</f>
        <v>PESO DE ${nome-local4}</v>
      </c>
      <c r="D100" s="38" t="str">
        <f>"not(selected(${spilha"&amp;L100&amp;"},''))"</f>
        <v>not(selected(${spilha4},''))</v>
      </c>
      <c r="E100" s="38" t="s">
        <v>25</v>
      </c>
      <c r="F100" s="39"/>
      <c r="G100" s="38"/>
      <c r="H100" s="38"/>
      <c r="I100" s="38"/>
      <c r="J100" s="38"/>
      <c r="K100" s="38"/>
      <c r="L100" s="13">
        <f t="shared" si="3"/>
        <v>4</v>
      </c>
    </row>
    <row r="101" spans="1:12" x14ac:dyDescent="0.3">
      <c r="A101" s="2" t="s">
        <v>32</v>
      </c>
      <c r="B101" s="3" t="str">
        <f>"apagar-cA"&amp;L101</f>
        <v>apagar-cA4</v>
      </c>
      <c r="C101" s="4" t="str">
        <f>"${"&amp;B99&amp;"}"</f>
        <v>${nome-local4}</v>
      </c>
      <c r="E101" s="8" t="s">
        <v>132</v>
      </c>
      <c r="F101" s="8" t="str">
        <f>"name =${"&amp;B94&amp;"} or name='espaco'"</f>
        <v>name =${spilha4} or name='espaco'</v>
      </c>
      <c r="L101" s="13">
        <f t="shared" si="3"/>
        <v>4</v>
      </c>
    </row>
    <row r="102" spans="1:12" x14ac:dyDescent="0.3">
      <c r="A102" s="2" t="s">
        <v>4</v>
      </c>
      <c r="B102" s="3" t="str">
        <f>"numero-ob"&amp;L102</f>
        <v>numero-ob4</v>
      </c>
      <c r="C102" s="4" t="str">
        <f>"Numero de peixes de ${"&amp;B99&amp;"}?"</f>
        <v>Numero de peixes de ${nome-local4}?</v>
      </c>
      <c r="D102" s="4" t="str">
        <f>"selected(${"&amp;B97&amp;"},'obrigatorio')"</f>
        <v>selected(${n-obr4},'obrigatorio')</v>
      </c>
      <c r="I102" s="4" t="s">
        <v>14</v>
      </c>
      <c r="J102" s="26"/>
      <c r="K102" s="26"/>
      <c r="L102" s="13">
        <f t="shared" si="3"/>
        <v>4</v>
      </c>
    </row>
    <row r="103" spans="1:12" x14ac:dyDescent="0.3">
      <c r="A103" s="2" t="s">
        <v>4</v>
      </c>
      <c r="B103" s="3" t="str">
        <f>"numero-naoob"&amp;L103</f>
        <v>numero-naoob4</v>
      </c>
      <c r="C103" s="4" t="str">
        <f>"Numero de peixes de ${"&amp;B99&amp;"}?"</f>
        <v>Numero de peixes de ${nome-local4}?</v>
      </c>
      <c r="D103" s="4" t="str">
        <f>"selected(${"&amp;B97&amp;"},'nao-obrigatorio')"</f>
        <v>selected(${n-obr4},'nao-obrigatorio')</v>
      </c>
      <c r="J103" s="26"/>
      <c r="K103" s="26"/>
      <c r="L103" s="13">
        <f t="shared" si="3"/>
        <v>4</v>
      </c>
    </row>
    <row r="104" spans="1:12" x14ac:dyDescent="0.3">
      <c r="A104" s="2" t="s">
        <v>33</v>
      </c>
      <c r="B104" s="3" t="str">
        <f>"peso-ob"&amp;L104</f>
        <v>peso-ob4</v>
      </c>
      <c r="C104" s="4" t="str">
        <f>"Quantos kilos de ${"&amp;B99&amp;"}?"</f>
        <v>Quantos kilos de ${nome-local4}?</v>
      </c>
      <c r="D104" s="4" t="str">
        <f>"selected(${"&amp;B98&amp;"},'obrigatorio')"</f>
        <v>selected(${p-obr4},'obrigatorio')</v>
      </c>
      <c r="I104" s="4" t="s">
        <v>14</v>
      </c>
      <c r="L104" s="13">
        <f t="shared" si="3"/>
        <v>4</v>
      </c>
    </row>
    <row r="105" spans="1:12" x14ac:dyDescent="0.3">
      <c r="A105" s="2" t="s">
        <v>33</v>
      </c>
      <c r="B105" s="3" t="str">
        <f>"peso-naoob"&amp;L105</f>
        <v>peso-naoob4</v>
      </c>
      <c r="C105" s="4" t="str">
        <f>"Quantos kilos de ${"&amp;B99&amp;"}?"</f>
        <v>Quantos kilos de ${nome-local4}?</v>
      </c>
      <c r="D105" s="4" t="str">
        <f>"selected(${"&amp;B98&amp;"},'nao-obrigatorio')"</f>
        <v>selected(${p-obr4},'nao-obrigatorio')</v>
      </c>
      <c r="E105"/>
      <c r="L105" s="13">
        <f t="shared" si="3"/>
        <v>4</v>
      </c>
    </row>
    <row r="106" spans="1:12" x14ac:dyDescent="0.3">
      <c r="A106" s="2" t="s">
        <v>136</v>
      </c>
      <c r="B106" s="3" t="str">
        <f>"uso"&amp;L106</f>
        <v>uso4</v>
      </c>
      <c r="C106" s="4" t="str">
        <f>"O ${"&amp;B99&amp;"} é para consumo, venda, salga ou São Pedro?"</f>
        <v>O ${nome-local4} é para consumo, venda, salga ou São Pedro?</v>
      </c>
      <c r="I106" s="4" t="s">
        <v>14</v>
      </c>
      <c r="L106" s="13">
        <f t="shared" si="3"/>
        <v>4</v>
      </c>
    </row>
    <row r="107" spans="1:12" x14ac:dyDescent="0.3">
      <c r="A107" s="35" t="s">
        <v>21</v>
      </c>
      <c r="B107" s="36"/>
      <c r="C107" s="37"/>
      <c r="D107" s="38"/>
      <c r="E107" s="38"/>
      <c r="F107" s="39"/>
      <c r="G107" s="38"/>
      <c r="H107" s="38"/>
      <c r="I107" s="38"/>
      <c r="J107" s="38"/>
      <c r="K107" s="38"/>
      <c r="L107" s="13">
        <f t="shared" si="3"/>
        <v>4</v>
      </c>
    </row>
    <row r="108" spans="1:12" x14ac:dyDescent="0.3">
      <c r="A108" s="35" t="s">
        <v>11</v>
      </c>
      <c r="B108" s="36" t="str">
        <f>"capB"&amp;L108</f>
        <v>capB4</v>
      </c>
      <c r="C108" s="37" t="str">
        <f>"PREÇO DE ${nome-local"&amp;L108&amp;"}"</f>
        <v>PREÇO DE ${nome-local4}</v>
      </c>
      <c r="D108" s="38" t="str">
        <f>"selected(${"&amp;B106&amp;"},'venda')"</f>
        <v>selected(${uso4},'venda')</v>
      </c>
      <c r="E108" s="38" t="s">
        <v>25</v>
      </c>
      <c r="F108" s="39"/>
      <c r="G108" s="38"/>
      <c r="H108" s="38"/>
      <c r="I108" s="38"/>
      <c r="J108" s="38"/>
      <c r="K108" s="38"/>
      <c r="L108" s="13">
        <f t="shared" si="3"/>
        <v>4</v>
      </c>
    </row>
    <row r="109" spans="1:12" x14ac:dyDescent="0.3">
      <c r="A109" s="2" t="s">
        <v>32</v>
      </c>
      <c r="B109" s="3" t="str">
        <f>"apagar-cB"&amp;L109</f>
        <v>apagar-cB4</v>
      </c>
      <c r="C109" s="4" t="str">
        <f>"PREÇO DE ${"&amp;B99&amp;"}"</f>
        <v>PREÇO DE ${nome-local4}</v>
      </c>
      <c r="E109" s="8" t="s">
        <v>132</v>
      </c>
      <c r="F109" s="8" t="str">
        <f>"name =${"&amp;B94&amp;"} or name='espaco'"</f>
        <v>name =${spilha4} or name='espaco'</v>
      </c>
      <c r="L109" s="13">
        <f t="shared" si="3"/>
        <v>4</v>
      </c>
    </row>
    <row r="110" spans="1:12" x14ac:dyDescent="0.3">
      <c r="A110" s="2" t="s">
        <v>4</v>
      </c>
      <c r="B110" s="3" t="str">
        <f>"preco"&amp;L110</f>
        <v>preco4</v>
      </c>
      <c r="C110" s="4" t="str">
        <f>"Preço de ${"&amp;B99&amp;"}? (em DOBRAS)"</f>
        <v>Preço de ${nome-local4}? (em DOBRAS)</v>
      </c>
      <c r="I110" s="4" t="s">
        <v>14</v>
      </c>
      <c r="L110" s="13">
        <f t="shared" si="3"/>
        <v>4</v>
      </c>
    </row>
    <row r="111" spans="1:12" x14ac:dyDescent="0.3">
      <c r="A111" s="2" t="s">
        <v>39</v>
      </c>
      <c r="B111" s="3" t="str">
        <f>"unidade-preco"&amp;L111</f>
        <v>unidade-preco4</v>
      </c>
      <c r="C111" s="4" t="s">
        <v>60</v>
      </c>
      <c r="I111" s="4" t="s">
        <v>14</v>
      </c>
      <c r="L111" s="13">
        <f t="shared" si="3"/>
        <v>4</v>
      </c>
    </row>
    <row r="112" spans="1:12" ht="15" customHeight="1" x14ac:dyDescent="0.3">
      <c r="A112" s="35" t="s">
        <v>21</v>
      </c>
      <c r="B112" s="36"/>
      <c r="C112" s="37"/>
      <c r="D112" s="38"/>
      <c r="E112" s="38"/>
      <c r="F112" s="39"/>
      <c r="G112" s="38"/>
      <c r="H112" s="38"/>
      <c r="I112" s="38"/>
      <c r="J112" s="38"/>
      <c r="K112" s="38"/>
      <c r="L112" s="13">
        <f t="shared" si="3"/>
        <v>4</v>
      </c>
    </row>
    <row r="113" spans="1:12" x14ac:dyDescent="0.3">
      <c r="A113" s="32" t="s">
        <v>21</v>
      </c>
      <c r="B113" s="33"/>
      <c r="C113" s="34"/>
      <c r="D113" s="34"/>
      <c r="E113" s="34"/>
      <c r="F113" s="34"/>
      <c r="G113" s="34"/>
      <c r="H113" s="34"/>
      <c r="I113" s="34"/>
      <c r="J113" s="34"/>
      <c r="K113" s="34"/>
      <c r="L113" s="13">
        <f t="shared" si="3"/>
        <v>4</v>
      </c>
    </row>
    <row r="114" spans="1:12" s="13" customFormat="1" x14ac:dyDescent="0.3">
      <c r="A114" s="9" t="s">
        <v>26</v>
      </c>
      <c r="B114" s="3" t="str">
        <f>"apanhou-peixe"&amp;L114</f>
        <v>apanhou-peixe4</v>
      </c>
      <c r="C114" s="8" t="s">
        <v>1269</v>
      </c>
      <c r="D114" s="4" t="str">
        <f>"selected(${apanhou-peixe"&amp;IF(L114=1,"",L114-1)&amp;"},'sim')"</f>
        <v>selected(${apanhou-peixe3},'sim')</v>
      </c>
      <c r="E114" s="8"/>
      <c r="F114" s="8"/>
      <c r="G114" s="8"/>
      <c r="H114" s="8"/>
      <c r="I114" s="8" t="s">
        <v>14</v>
      </c>
      <c r="J114" s="8"/>
      <c r="K114" s="8"/>
      <c r="L114" s="13">
        <f t="shared" si="3"/>
        <v>4</v>
      </c>
    </row>
    <row r="115" spans="1:12" x14ac:dyDescent="0.3">
      <c r="A115" s="32" t="s">
        <v>11</v>
      </c>
      <c r="B115" s="33" t="str">
        <f>"CAPTURAS"&amp;L116</f>
        <v>CAPTURAS5</v>
      </c>
      <c r="C115" s="34" t="str">
        <f>"${nome-local"&amp;L115&amp;"}"</f>
        <v>${nome-local5}</v>
      </c>
      <c r="D115" s="34" t="str">
        <f>"selected(${apanhou-peixe"&amp;IF(L115=1,"",L115-1)&amp;"},'sim')"</f>
        <v>selected(${apanhou-peixe4},'sim')</v>
      </c>
      <c r="E115" s="34"/>
      <c r="F115" s="34"/>
      <c r="G115" s="34"/>
      <c r="H115" s="34"/>
      <c r="I115" s="34"/>
      <c r="J115" s="34"/>
      <c r="K115" s="34"/>
      <c r="L115" s="13">
        <f>IF(C114="Apanhou mais algum peixe?", L114+1,L114)</f>
        <v>5</v>
      </c>
    </row>
    <row r="116" spans="1:12" x14ac:dyDescent="0.3">
      <c r="A116" s="9" t="s">
        <v>32</v>
      </c>
      <c r="B116" s="3" t="str">
        <f>"spilha"&amp;L116</f>
        <v>spilha5</v>
      </c>
      <c r="C116" s="8" t="s">
        <v>83</v>
      </c>
      <c r="D116" s="8"/>
      <c r="E116" s="8" t="s">
        <v>1000</v>
      </c>
      <c r="F116" s="8" t="s">
        <v>1260</v>
      </c>
      <c r="G116" s="8"/>
      <c r="H116" s="8"/>
      <c r="I116" s="8" t="s">
        <v>14</v>
      </c>
      <c r="L116" s="13">
        <f t="shared" ref="L116:L136" si="4">IF(C115="Apanhou mais algum peixe?", L115+1,L115)</f>
        <v>5</v>
      </c>
    </row>
    <row r="117" spans="1:12" ht="15.6" x14ac:dyDescent="0.3">
      <c r="A117" s="2" t="s">
        <v>3</v>
      </c>
      <c r="B117" s="3" t="str">
        <f>"outro"&amp;L117</f>
        <v>outro5</v>
      </c>
      <c r="C117" s="8" t="s">
        <v>1046</v>
      </c>
      <c r="D117" s="8" t="str">
        <f>"selected(${"&amp;B116&amp;"},'OUTRO-PEIXEprincipe') or selected(${"&amp;B116&amp;"},'OUTRO-PEIXEsaotome')"</f>
        <v>selected(${spilha5},'OUTRO-PEIXEprincipe') or selected(${spilha5},'OUTRO-PEIXEsaotome')</v>
      </c>
      <c r="E117" s="16"/>
      <c r="L117" s="13">
        <f t="shared" si="4"/>
        <v>5</v>
      </c>
    </row>
    <row r="118" spans="1:12" ht="15.6" x14ac:dyDescent="0.3">
      <c r="A118" s="2" t="s">
        <v>84</v>
      </c>
      <c r="B118" s="3" t="str">
        <f>"fotografia"&amp;L118</f>
        <v>fotografia5</v>
      </c>
      <c r="C118" s="8" t="s">
        <v>1417</v>
      </c>
      <c r="D118" s="8" t="str">
        <f>"selected(${"&amp;B116&amp;"},'OUTRO-PEIXEprincipe') or selected(${"&amp;B116&amp;"},'OUTRO-PEIXEsaotome')"</f>
        <v>selected(${spilha5},'OUTRO-PEIXEprincipe') or selected(${spilha5},'OUTRO-PEIXEsaotome')</v>
      </c>
      <c r="E118" s="16"/>
      <c r="L118" s="13">
        <f t="shared" si="4"/>
        <v>5</v>
      </c>
    </row>
    <row r="119" spans="1:12" ht="15.6" x14ac:dyDescent="0.3">
      <c r="A119" s="2" t="s">
        <v>195</v>
      </c>
      <c r="B119" s="3" t="str">
        <f>"n-obr"&amp;L119</f>
        <v>n-obr5</v>
      </c>
      <c r="C119" s="8"/>
      <c r="D119" s="8"/>
      <c r="E119" s="16"/>
      <c r="J119" s="31" t="str">
        <f>"instance('especies')/root/item[name    =    ${"&amp;B116&amp;"} ]/numero"</f>
        <v>instance('especies')/root/item[name    =    ${spilha5} ]/numero</v>
      </c>
      <c r="K119" s="31"/>
      <c r="L119" s="13">
        <f t="shared" si="4"/>
        <v>5</v>
      </c>
    </row>
    <row r="120" spans="1:12" ht="15.6" x14ac:dyDescent="0.3">
      <c r="A120" s="2" t="s">
        <v>195</v>
      </c>
      <c r="B120" s="3" t="str">
        <f>"p-obr"&amp;L120</f>
        <v>p-obr5</v>
      </c>
      <c r="C120" s="8"/>
      <c r="D120" s="8"/>
      <c r="E120" s="16"/>
      <c r="J120" s="31" t="str">
        <f>"instance('especies')/root/item[name    =    ${"&amp;B116&amp;"} ]/peso"</f>
        <v>instance('especies')/root/item[name    =    ${spilha5} ]/peso</v>
      </c>
      <c r="K120" s="31"/>
      <c r="L120" s="13">
        <f t="shared" si="4"/>
        <v>5</v>
      </c>
    </row>
    <row r="121" spans="1:12" ht="15.6" x14ac:dyDescent="0.3">
      <c r="A121" s="2" t="s">
        <v>195</v>
      </c>
      <c r="B121" s="3" t="str">
        <f>"nome-local"&amp;L121</f>
        <v>nome-local5</v>
      </c>
      <c r="E121" s="16"/>
      <c r="J121" s="4" t="str">
        <f>"if(${"&amp;B116&amp;"} = 'OUTRO-PEIXEprincipe' or ${"&amp;B116&amp;"} = 'OUTRO-PEIXEsaotome' ,       ${"&amp;B117&amp;"},        instance('especies')/root/item[name    =    ${"&amp;B116&amp;"} ]/nomelocal)"</f>
        <v>if(${spilha5} = 'OUTRO-PEIXEprincipe' or ${spilha5} = 'OUTRO-PEIXEsaotome' ,       ${outro5},        instance('especies')/root/item[name    =    ${spilha5} ]/nomelocal)</v>
      </c>
      <c r="L121" s="13">
        <f t="shared" si="4"/>
        <v>5</v>
      </c>
    </row>
    <row r="122" spans="1:12" x14ac:dyDescent="0.3">
      <c r="A122" s="35" t="s">
        <v>11</v>
      </c>
      <c r="B122" s="36" t="str">
        <f>"capA"&amp;L122</f>
        <v>capA5</v>
      </c>
      <c r="C122" s="37" t="str">
        <f>"PESO DE ${nome-local"&amp;L122&amp;"}"</f>
        <v>PESO DE ${nome-local5}</v>
      </c>
      <c r="D122" s="38" t="str">
        <f>"not(selected(${spilha"&amp;L122&amp;"},''))"</f>
        <v>not(selected(${spilha5},''))</v>
      </c>
      <c r="E122" s="38" t="s">
        <v>25</v>
      </c>
      <c r="F122" s="39"/>
      <c r="G122" s="38"/>
      <c r="H122" s="38"/>
      <c r="I122" s="38"/>
      <c r="J122" s="38"/>
      <c r="K122" s="38"/>
      <c r="L122" s="13">
        <f t="shared" si="4"/>
        <v>5</v>
      </c>
    </row>
    <row r="123" spans="1:12" x14ac:dyDescent="0.3">
      <c r="A123" s="2" t="s">
        <v>32</v>
      </c>
      <c r="B123" s="3" t="str">
        <f>"apagar-cA"&amp;L123</f>
        <v>apagar-cA5</v>
      </c>
      <c r="C123" s="4" t="str">
        <f>"${"&amp;B121&amp;"}"</f>
        <v>${nome-local5}</v>
      </c>
      <c r="E123" s="8" t="s">
        <v>132</v>
      </c>
      <c r="F123" s="8" t="str">
        <f>"name =${"&amp;B116&amp;"} or name='espaco'"</f>
        <v>name =${spilha5} or name='espaco'</v>
      </c>
      <c r="L123" s="13">
        <f t="shared" si="4"/>
        <v>5</v>
      </c>
    </row>
    <row r="124" spans="1:12" x14ac:dyDescent="0.3">
      <c r="A124" s="2" t="s">
        <v>4</v>
      </c>
      <c r="B124" s="3" t="str">
        <f>"numero-ob"&amp;L124</f>
        <v>numero-ob5</v>
      </c>
      <c r="C124" s="4" t="str">
        <f>"Numero de peixes de ${"&amp;B121&amp;"}?"</f>
        <v>Numero de peixes de ${nome-local5}?</v>
      </c>
      <c r="D124" s="4" t="str">
        <f>"selected(${"&amp;B119&amp;"},'obrigatorio')"</f>
        <v>selected(${n-obr5},'obrigatorio')</v>
      </c>
      <c r="I124" s="4" t="s">
        <v>14</v>
      </c>
      <c r="J124" s="26"/>
      <c r="K124" s="26"/>
      <c r="L124" s="13">
        <f t="shared" si="4"/>
        <v>5</v>
      </c>
    </row>
    <row r="125" spans="1:12" x14ac:dyDescent="0.3">
      <c r="A125" s="2" t="s">
        <v>4</v>
      </c>
      <c r="B125" s="3" t="str">
        <f>"numero-naoob"&amp;L125</f>
        <v>numero-naoob5</v>
      </c>
      <c r="C125" s="4" t="str">
        <f>"Numero de peixes de ${"&amp;B121&amp;"}?"</f>
        <v>Numero de peixes de ${nome-local5}?</v>
      </c>
      <c r="D125" s="4" t="str">
        <f>"selected(${"&amp;B119&amp;"},'nao-obrigatorio')"</f>
        <v>selected(${n-obr5},'nao-obrigatorio')</v>
      </c>
      <c r="J125" s="26"/>
      <c r="K125" s="26"/>
      <c r="L125" s="13">
        <f t="shared" si="4"/>
        <v>5</v>
      </c>
    </row>
    <row r="126" spans="1:12" x14ac:dyDescent="0.3">
      <c r="A126" s="2" t="s">
        <v>33</v>
      </c>
      <c r="B126" s="3" t="str">
        <f>"peso-ob"&amp;L126</f>
        <v>peso-ob5</v>
      </c>
      <c r="C126" s="4" t="str">
        <f>"Quantos kilos de ${"&amp;B121&amp;"}?"</f>
        <v>Quantos kilos de ${nome-local5}?</v>
      </c>
      <c r="D126" s="4" t="str">
        <f>"selected(${"&amp;B120&amp;"},'obrigatorio')"</f>
        <v>selected(${p-obr5},'obrigatorio')</v>
      </c>
      <c r="I126" s="4" t="s">
        <v>14</v>
      </c>
      <c r="L126" s="13">
        <f t="shared" si="4"/>
        <v>5</v>
      </c>
    </row>
    <row r="127" spans="1:12" x14ac:dyDescent="0.3">
      <c r="A127" s="2" t="s">
        <v>33</v>
      </c>
      <c r="B127" s="3" t="str">
        <f>"peso-naoob"&amp;L127</f>
        <v>peso-naoob5</v>
      </c>
      <c r="C127" s="4" t="str">
        <f>"Quantos kilos de ${"&amp;B121&amp;"}?"</f>
        <v>Quantos kilos de ${nome-local5}?</v>
      </c>
      <c r="D127" s="4" t="str">
        <f>"selected(${"&amp;B120&amp;"},'nao-obrigatorio')"</f>
        <v>selected(${p-obr5},'nao-obrigatorio')</v>
      </c>
      <c r="E127"/>
      <c r="L127" s="13">
        <f t="shared" si="4"/>
        <v>5</v>
      </c>
    </row>
    <row r="128" spans="1:12" x14ac:dyDescent="0.3">
      <c r="A128" s="2" t="s">
        <v>136</v>
      </c>
      <c r="B128" s="3" t="str">
        <f>"uso"&amp;L128</f>
        <v>uso5</v>
      </c>
      <c r="C128" s="4" t="str">
        <f>"O ${"&amp;B121&amp;"} é para consumo, venda, salga ou São Pedro?"</f>
        <v>O ${nome-local5} é para consumo, venda, salga ou São Pedro?</v>
      </c>
      <c r="I128" s="4" t="s">
        <v>14</v>
      </c>
      <c r="L128" s="13">
        <f t="shared" si="4"/>
        <v>5</v>
      </c>
    </row>
    <row r="129" spans="1:12" x14ac:dyDescent="0.3">
      <c r="A129" s="35" t="s">
        <v>21</v>
      </c>
      <c r="B129" s="36"/>
      <c r="C129" s="37"/>
      <c r="D129" s="38"/>
      <c r="E129" s="38"/>
      <c r="F129" s="39"/>
      <c r="G129" s="38"/>
      <c r="H129" s="38"/>
      <c r="I129" s="38"/>
      <c r="J129" s="38"/>
      <c r="K129" s="38"/>
      <c r="L129" s="13">
        <f t="shared" si="4"/>
        <v>5</v>
      </c>
    </row>
    <row r="130" spans="1:12" x14ac:dyDescent="0.3">
      <c r="A130" s="35" t="s">
        <v>11</v>
      </c>
      <c r="B130" s="36" t="str">
        <f>"capB"&amp;L130</f>
        <v>capB5</v>
      </c>
      <c r="C130" s="37" t="str">
        <f>"PREÇO DE ${nome-local"&amp;L130&amp;"}"</f>
        <v>PREÇO DE ${nome-local5}</v>
      </c>
      <c r="D130" s="38" t="str">
        <f>"selected(${"&amp;B128&amp;"},'venda')"</f>
        <v>selected(${uso5},'venda')</v>
      </c>
      <c r="E130" s="38" t="s">
        <v>25</v>
      </c>
      <c r="F130" s="39"/>
      <c r="G130" s="38"/>
      <c r="H130" s="38"/>
      <c r="I130" s="38"/>
      <c r="J130" s="38"/>
      <c r="K130" s="38"/>
      <c r="L130" s="13">
        <f t="shared" si="4"/>
        <v>5</v>
      </c>
    </row>
    <row r="131" spans="1:12" x14ac:dyDescent="0.3">
      <c r="A131" s="2" t="s">
        <v>32</v>
      </c>
      <c r="B131" s="3" t="str">
        <f>"apagar-cB"&amp;L131</f>
        <v>apagar-cB5</v>
      </c>
      <c r="C131" s="4" t="str">
        <f>"PREÇO DE ${"&amp;B121&amp;"}"</f>
        <v>PREÇO DE ${nome-local5}</v>
      </c>
      <c r="E131" s="8" t="s">
        <v>132</v>
      </c>
      <c r="F131" s="8" t="str">
        <f>"name =${"&amp;B116&amp;"} or name='espaco'"</f>
        <v>name =${spilha5} or name='espaco'</v>
      </c>
      <c r="L131" s="13">
        <f t="shared" si="4"/>
        <v>5</v>
      </c>
    </row>
    <row r="132" spans="1:12" x14ac:dyDescent="0.3">
      <c r="A132" s="2" t="s">
        <v>4</v>
      </c>
      <c r="B132" s="3" t="str">
        <f>"preco"&amp;L132</f>
        <v>preco5</v>
      </c>
      <c r="C132" s="4" t="str">
        <f>"Preço de ${"&amp;B121&amp;"}? (em DOBRAS)"</f>
        <v>Preço de ${nome-local5}? (em DOBRAS)</v>
      </c>
      <c r="I132" s="4" t="s">
        <v>14</v>
      </c>
      <c r="L132" s="13">
        <f t="shared" si="4"/>
        <v>5</v>
      </c>
    </row>
    <row r="133" spans="1:12" x14ac:dyDescent="0.3">
      <c r="A133" s="2" t="s">
        <v>39</v>
      </c>
      <c r="B133" s="3" t="str">
        <f>"unidade-preco"&amp;L133</f>
        <v>unidade-preco5</v>
      </c>
      <c r="C133" s="4" t="s">
        <v>60</v>
      </c>
      <c r="I133" s="4" t="s">
        <v>14</v>
      </c>
      <c r="L133" s="13">
        <f t="shared" si="4"/>
        <v>5</v>
      </c>
    </row>
    <row r="134" spans="1:12" ht="15" customHeight="1" x14ac:dyDescent="0.3">
      <c r="A134" s="35" t="s">
        <v>21</v>
      </c>
      <c r="B134" s="36"/>
      <c r="C134" s="37"/>
      <c r="D134" s="38"/>
      <c r="E134" s="38"/>
      <c r="F134" s="39"/>
      <c r="G134" s="38"/>
      <c r="H134" s="38"/>
      <c r="I134" s="38"/>
      <c r="J134" s="38"/>
      <c r="K134" s="38"/>
      <c r="L134" s="13">
        <f t="shared" si="4"/>
        <v>5</v>
      </c>
    </row>
    <row r="135" spans="1:12" x14ac:dyDescent="0.3">
      <c r="A135" s="32" t="s">
        <v>21</v>
      </c>
      <c r="B135" s="33"/>
      <c r="C135" s="34"/>
      <c r="D135" s="34"/>
      <c r="E135" s="34"/>
      <c r="F135" s="34"/>
      <c r="G135" s="34"/>
      <c r="H135" s="34"/>
      <c r="I135" s="34"/>
      <c r="J135" s="34"/>
      <c r="K135" s="34"/>
      <c r="L135" s="13">
        <f t="shared" si="4"/>
        <v>5</v>
      </c>
    </row>
    <row r="136" spans="1:12" s="13" customFormat="1" x14ac:dyDescent="0.3">
      <c r="A136" s="9" t="s">
        <v>26</v>
      </c>
      <c r="B136" s="3" t="str">
        <f>"apanhou-peixe"&amp;L136</f>
        <v>apanhou-peixe5</v>
      </c>
      <c r="C136" s="8" t="s">
        <v>1269</v>
      </c>
      <c r="D136" s="4" t="str">
        <f>"selected(${apanhou-peixe"&amp;IF(L136=1,"",L136-1)&amp;"},'sim')"</f>
        <v>selected(${apanhou-peixe4},'sim')</v>
      </c>
      <c r="E136" s="8"/>
      <c r="F136" s="8"/>
      <c r="G136" s="8"/>
      <c r="H136" s="8"/>
      <c r="I136" s="8" t="s">
        <v>14</v>
      </c>
      <c r="J136" s="8"/>
      <c r="K136" s="8"/>
      <c r="L136" s="13">
        <f t="shared" si="4"/>
        <v>5</v>
      </c>
    </row>
    <row r="137" spans="1:12" x14ac:dyDescent="0.3">
      <c r="A137" s="32" t="s">
        <v>11</v>
      </c>
      <c r="B137" s="33" t="str">
        <f>"CAPTURAS"&amp;L138</f>
        <v>CAPTURAS6</v>
      </c>
      <c r="C137" s="34" t="str">
        <f>"${nome-local"&amp;L137&amp;"}"</f>
        <v>${nome-local6}</v>
      </c>
      <c r="D137" s="34" t="str">
        <f>"selected(${apanhou-peixe"&amp;IF(L137=1,"",L137-1)&amp;"},'sim')"</f>
        <v>selected(${apanhou-peixe5},'sim')</v>
      </c>
      <c r="E137" s="34"/>
      <c r="F137" s="34"/>
      <c r="G137" s="34"/>
      <c r="H137" s="34"/>
      <c r="I137" s="34"/>
      <c r="J137" s="34"/>
      <c r="K137" s="34"/>
      <c r="L137" s="13">
        <f>IF(C136="Apanhou mais algum peixe?", L136+1,L136)</f>
        <v>6</v>
      </c>
    </row>
    <row r="138" spans="1:12" x14ac:dyDescent="0.3">
      <c r="A138" s="9" t="s">
        <v>32</v>
      </c>
      <c r="B138" s="3" t="str">
        <f>"spilha"&amp;L138</f>
        <v>spilha6</v>
      </c>
      <c r="C138" s="8" t="s">
        <v>83</v>
      </c>
      <c r="D138" s="8"/>
      <c r="E138" s="8" t="s">
        <v>1000</v>
      </c>
      <c r="F138" s="8" t="s">
        <v>1260</v>
      </c>
      <c r="G138" s="8"/>
      <c r="H138" s="8"/>
      <c r="I138" s="8" t="s">
        <v>14</v>
      </c>
      <c r="L138" s="13">
        <f t="shared" ref="L138:L158" si="5">IF(C137="Apanhou mais algum peixe?", L137+1,L137)</f>
        <v>6</v>
      </c>
    </row>
    <row r="139" spans="1:12" ht="15.6" x14ac:dyDescent="0.3">
      <c r="A139" s="2" t="s">
        <v>3</v>
      </c>
      <c r="B139" s="3" t="str">
        <f>"outro"&amp;L139</f>
        <v>outro6</v>
      </c>
      <c r="C139" s="8" t="s">
        <v>1046</v>
      </c>
      <c r="D139" s="8" t="str">
        <f>"selected(${"&amp;B138&amp;"},'OUTRO-PEIXEprincipe') or selected(${"&amp;B138&amp;"},'OUTRO-PEIXEsaotome')"</f>
        <v>selected(${spilha6},'OUTRO-PEIXEprincipe') or selected(${spilha6},'OUTRO-PEIXEsaotome')</v>
      </c>
      <c r="E139" s="16"/>
      <c r="L139" s="13">
        <f t="shared" si="5"/>
        <v>6</v>
      </c>
    </row>
    <row r="140" spans="1:12" ht="15.6" x14ac:dyDescent="0.3">
      <c r="A140" s="2" t="s">
        <v>84</v>
      </c>
      <c r="B140" s="3" t="str">
        <f>"fotografia"&amp;L140</f>
        <v>fotografia6</v>
      </c>
      <c r="C140" s="8" t="s">
        <v>1417</v>
      </c>
      <c r="D140" s="8" t="str">
        <f>"selected(${"&amp;B138&amp;"},'OUTRO-PEIXEprincipe') or selected(${"&amp;B138&amp;"},'OUTRO-PEIXEsaotome')"</f>
        <v>selected(${spilha6},'OUTRO-PEIXEprincipe') or selected(${spilha6},'OUTRO-PEIXEsaotome')</v>
      </c>
      <c r="E140" s="16"/>
      <c r="L140" s="13">
        <f t="shared" si="5"/>
        <v>6</v>
      </c>
    </row>
    <row r="141" spans="1:12" ht="15.6" x14ac:dyDescent="0.3">
      <c r="A141" s="2" t="s">
        <v>195</v>
      </c>
      <c r="B141" s="3" t="str">
        <f>"n-obr"&amp;L141</f>
        <v>n-obr6</v>
      </c>
      <c r="C141" s="8"/>
      <c r="D141" s="8"/>
      <c r="E141" s="16"/>
      <c r="J141" s="31" t="str">
        <f>"instance('especies')/root/item[name    =    ${"&amp;B138&amp;"} ]/numero"</f>
        <v>instance('especies')/root/item[name    =    ${spilha6} ]/numero</v>
      </c>
      <c r="K141" s="31"/>
      <c r="L141" s="13">
        <f t="shared" si="5"/>
        <v>6</v>
      </c>
    </row>
    <row r="142" spans="1:12" ht="15.6" x14ac:dyDescent="0.3">
      <c r="A142" s="2" t="s">
        <v>195</v>
      </c>
      <c r="B142" s="3" t="str">
        <f>"p-obr"&amp;L142</f>
        <v>p-obr6</v>
      </c>
      <c r="C142" s="8"/>
      <c r="D142" s="8"/>
      <c r="E142" s="16"/>
      <c r="J142" s="31" t="str">
        <f>"instance('especies')/root/item[name    =    ${"&amp;B138&amp;"} ]/peso"</f>
        <v>instance('especies')/root/item[name    =    ${spilha6} ]/peso</v>
      </c>
      <c r="K142" s="31"/>
      <c r="L142" s="13">
        <f t="shared" si="5"/>
        <v>6</v>
      </c>
    </row>
    <row r="143" spans="1:12" ht="15.6" x14ac:dyDescent="0.3">
      <c r="A143" s="2" t="s">
        <v>195</v>
      </c>
      <c r="B143" s="3" t="str">
        <f>"nome-local"&amp;L143</f>
        <v>nome-local6</v>
      </c>
      <c r="E143" s="16"/>
      <c r="J143" s="4" t="str">
        <f>"if(${"&amp;B138&amp;"} = 'OUTRO-PEIXEprincipe' or ${"&amp;B138&amp;"} = 'OUTRO-PEIXEsaotome' ,       ${"&amp;B139&amp;"},        instance('especies')/root/item[name    =    ${"&amp;B138&amp;"} ]/nomelocal)"</f>
        <v>if(${spilha6} = 'OUTRO-PEIXEprincipe' or ${spilha6} = 'OUTRO-PEIXEsaotome' ,       ${outro6},        instance('especies')/root/item[name    =    ${spilha6} ]/nomelocal)</v>
      </c>
      <c r="L143" s="13">
        <f t="shared" si="5"/>
        <v>6</v>
      </c>
    </row>
    <row r="144" spans="1:12" x14ac:dyDescent="0.3">
      <c r="A144" s="35" t="s">
        <v>11</v>
      </c>
      <c r="B144" s="36" t="str">
        <f>"capA"&amp;L144</f>
        <v>capA6</v>
      </c>
      <c r="C144" s="37" t="str">
        <f>"PESO DE ${nome-local"&amp;L144&amp;"}"</f>
        <v>PESO DE ${nome-local6}</v>
      </c>
      <c r="D144" s="38" t="str">
        <f>"not(selected(${spilha"&amp;L144&amp;"},''))"</f>
        <v>not(selected(${spilha6},''))</v>
      </c>
      <c r="E144" s="38" t="s">
        <v>25</v>
      </c>
      <c r="F144" s="39"/>
      <c r="G144" s="38"/>
      <c r="H144" s="38"/>
      <c r="I144" s="38"/>
      <c r="J144" s="38"/>
      <c r="K144" s="38"/>
      <c r="L144" s="13">
        <f t="shared" si="5"/>
        <v>6</v>
      </c>
    </row>
    <row r="145" spans="1:12" x14ac:dyDescent="0.3">
      <c r="A145" s="2" t="s">
        <v>32</v>
      </c>
      <c r="B145" s="3" t="str">
        <f>"apagar-cA"&amp;L145</f>
        <v>apagar-cA6</v>
      </c>
      <c r="C145" s="4" t="str">
        <f>"${"&amp;B143&amp;"}"</f>
        <v>${nome-local6}</v>
      </c>
      <c r="E145" s="8" t="s">
        <v>132</v>
      </c>
      <c r="F145" s="8" t="str">
        <f>"name =${"&amp;B138&amp;"} or name='espaco'"</f>
        <v>name =${spilha6} or name='espaco'</v>
      </c>
      <c r="L145" s="13">
        <f t="shared" si="5"/>
        <v>6</v>
      </c>
    </row>
    <row r="146" spans="1:12" x14ac:dyDescent="0.3">
      <c r="A146" s="2" t="s">
        <v>4</v>
      </c>
      <c r="B146" s="3" t="str">
        <f>"numero-ob"&amp;L146</f>
        <v>numero-ob6</v>
      </c>
      <c r="C146" s="4" t="str">
        <f>"Numero de peixes de ${"&amp;B143&amp;"}?"</f>
        <v>Numero de peixes de ${nome-local6}?</v>
      </c>
      <c r="D146" s="4" t="str">
        <f>"selected(${"&amp;B141&amp;"},'obrigatorio')"</f>
        <v>selected(${n-obr6},'obrigatorio')</v>
      </c>
      <c r="I146" s="4" t="s">
        <v>14</v>
      </c>
      <c r="J146" s="26"/>
      <c r="K146" s="26"/>
      <c r="L146" s="13">
        <f t="shared" si="5"/>
        <v>6</v>
      </c>
    </row>
    <row r="147" spans="1:12" x14ac:dyDescent="0.3">
      <c r="A147" s="2" t="s">
        <v>4</v>
      </c>
      <c r="B147" s="3" t="str">
        <f>"numero-naoob"&amp;L147</f>
        <v>numero-naoob6</v>
      </c>
      <c r="C147" s="4" t="str">
        <f>"Numero de peixes de ${"&amp;B143&amp;"}?"</f>
        <v>Numero de peixes de ${nome-local6}?</v>
      </c>
      <c r="D147" s="4" t="str">
        <f>"selected(${"&amp;B141&amp;"},'nao-obrigatorio')"</f>
        <v>selected(${n-obr6},'nao-obrigatorio')</v>
      </c>
      <c r="J147" s="26"/>
      <c r="K147" s="26"/>
      <c r="L147" s="13">
        <f t="shared" si="5"/>
        <v>6</v>
      </c>
    </row>
    <row r="148" spans="1:12" x14ac:dyDescent="0.3">
      <c r="A148" s="2" t="s">
        <v>33</v>
      </c>
      <c r="B148" s="3" t="str">
        <f>"peso-ob"&amp;L148</f>
        <v>peso-ob6</v>
      </c>
      <c r="C148" s="4" t="str">
        <f>"Quantos kilos de ${"&amp;B143&amp;"}?"</f>
        <v>Quantos kilos de ${nome-local6}?</v>
      </c>
      <c r="D148" s="4" t="str">
        <f>"selected(${"&amp;B142&amp;"},'obrigatorio')"</f>
        <v>selected(${p-obr6},'obrigatorio')</v>
      </c>
      <c r="I148" s="4" t="s">
        <v>14</v>
      </c>
      <c r="L148" s="13">
        <f t="shared" si="5"/>
        <v>6</v>
      </c>
    </row>
    <row r="149" spans="1:12" x14ac:dyDescent="0.3">
      <c r="A149" s="2" t="s">
        <v>33</v>
      </c>
      <c r="B149" s="3" t="str">
        <f>"peso-naoob"&amp;L149</f>
        <v>peso-naoob6</v>
      </c>
      <c r="C149" s="4" t="str">
        <f>"Quantos kilos de ${"&amp;B143&amp;"}?"</f>
        <v>Quantos kilos de ${nome-local6}?</v>
      </c>
      <c r="D149" s="4" t="str">
        <f>"selected(${"&amp;B142&amp;"},'nao-obrigatorio')"</f>
        <v>selected(${p-obr6},'nao-obrigatorio')</v>
      </c>
      <c r="E149"/>
      <c r="L149" s="13">
        <f t="shared" si="5"/>
        <v>6</v>
      </c>
    </row>
    <row r="150" spans="1:12" x14ac:dyDescent="0.3">
      <c r="A150" s="2" t="s">
        <v>136</v>
      </c>
      <c r="B150" s="3" t="str">
        <f>"uso"&amp;L150</f>
        <v>uso6</v>
      </c>
      <c r="C150" s="4" t="str">
        <f>"O ${"&amp;B143&amp;"} é para consumo, venda, salga ou São Pedro?"</f>
        <v>O ${nome-local6} é para consumo, venda, salga ou São Pedro?</v>
      </c>
      <c r="I150" s="4" t="s">
        <v>14</v>
      </c>
      <c r="L150" s="13">
        <f t="shared" si="5"/>
        <v>6</v>
      </c>
    </row>
    <row r="151" spans="1:12" x14ac:dyDescent="0.3">
      <c r="A151" s="35" t="s">
        <v>21</v>
      </c>
      <c r="B151" s="36"/>
      <c r="C151" s="37"/>
      <c r="D151" s="38"/>
      <c r="E151" s="38"/>
      <c r="F151" s="39"/>
      <c r="G151" s="38"/>
      <c r="H151" s="38"/>
      <c r="I151" s="38"/>
      <c r="J151" s="38"/>
      <c r="K151" s="38"/>
      <c r="L151" s="13">
        <f t="shared" si="5"/>
        <v>6</v>
      </c>
    </row>
    <row r="152" spans="1:12" x14ac:dyDescent="0.3">
      <c r="A152" s="35" t="s">
        <v>11</v>
      </c>
      <c r="B152" s="36" t="str">
        <f>"capB"&amp;L152</f>
        <v>capB6</v>
      </c>
      <c r="C152" s="37" t="str">
        <f>"PREÇO DE ${nome-local"&amp;L152&amp;"}"</f>
        <v>PREÇO DE ${nome-local6}</v>
      </c>
      <c r="D152" s="38" t="str">
        <f>"selected(${"&amp;B150&amp;"},'venda')"</f>
        <v>selected(${uso6},'venda')</v>
      </c>
      <c r="E152" s="38" t="s">
        <v>25</v>
      </c>
      <c r="F152" s="39"/>
      <c r="G152" s="38"/>
      <c r="H152" s="38"/>
      <c r="I152" s="38"/>
      <c r="J152" s="38"/>
      <c r="K152" s="38"/>
      <c r="L152" s="13">
        <f t="shared" si="5"/>
        <v>6</v>
      </c>
    </row>
    <row r="153" spans="1:12" x14ac:dyDescent="0.3">
      <c r="A153" s="2" t="s">
        <v>32</v>
      </c>
      <c r="B153" s="3" t="str">
        <f>"apagar-cB"&amp;L153</f>
        <v>apagar-cB6</v>
      </c>
      <c r="C153" s="4" t="str">
        <f>"PREÇO DE ${"&amp;B143&amp;"}"</f>
        <v>PREÇO DE ${nome-local6}</v>
      </c>
      <c r="E153" s="8" t="s">
        <v>132</v>
      </c>
      <c r="F153" s="8" t="str">
        <f>"name =${"&amp;B138&amp;"} or name='espaco'"</f>
        <v>name =${spilha6} or name='espaco'</v>
      </c>
      <c r="L153" s="13">
        <f t="shared" si="5"/>
        <v>6</v>
      </c>
    </row>
    <row r="154" spans="1:12" x14ac:dyDescent="0.3">
      <c r="A154" s="2" t="s">
        <v>4</v>
      </c>
      <c r="B154" s="3" t="str">
        <f>"preco"&amp;L154</f>
        <v>preco6</v>
      </c>
      <c r="C154" s="4" t="str">
        <f>"Preço de ${"&amp;B143&amp;"}? (em DOBRAS)"</f>
        <v>Preço de ${nome-local6}? (em DOBRAS)</v>
      </c>
      <c r="I154" s="4" t="s">
        <v>14</v>
      </c>
      <c r="L154" s="13">
        <f t="shared" si="5"/>
        <v>6</v>
      </c>
    </row>
    <row r="155" spans="1:12" x14ac:dyDescent="0.3">
      <c r="A155" s="2" t="s">
        <v>39</v>
      </c>
      <c r="B155" s="3" t="str">
        <f>"unidade-preco"&amp;L155</f>
        <v>unidade-preco6</v>
      </c>
      <c r="C155" s="4" t="s">
        <v>60</v>
      </c>
      <c r="I155" s="4" t="s">
        <v>14</v>
      </c>
      <c r="L155" s="13">
        <f t="shared" si="5"/>
        <v>6</v>
      </c>
    </row>
    <row r="156" spans="1:12" ht="15" customHeight="1" x14ac:dyDescent="0.3">
      <c r="A156" s="35" t="s">
        <v>21</v>
      </c>
      <c r="B156" s="36"/>
      <c r="C156" s="37"/>
      <c r="D156" s="38"/>
      <c r="E156" s="38"/>
      <c r="F156" s="39"/>
      <c r="G156" s="38"/>
      <c r="H156" s="38"/>
      <c r="I156" s="38"/>
      <c r="J156" s="38"/>
      <c r="K156" s="38"/>
      <c r="L156" s="13">
        <f t="shared" si="5"/>
        <v>6</v>
      </c>
    </row>
    <row r="157" spans="1:12" x14ac:dyDescent="0.3">
      <c r="A157" s="32" t="s">
        <v>21</v>
      </c>
      <c r="B157" s="33"/>
      <c r="C157" s="34"/>
      <c r="D157" s="34"/>
      <c r="E157" s="34"/>
      <c r="F157" s="34"/>
      <c r="G157" s="34"/>
      <c r="H157" s="34"/>
      <c r="I157" s="34"/>
      <c r="J157" s="34"/>
      <c r="K157" s="34"/>
      <c r="L157" s="13">
        <f t="shared" si="5"/>
        <v>6</v>
      </c>
    </row>
    <row r="158" spans="1:12" s="13" customFormat="1" x14ac:dyDescent="0.3">
      <c r="A158" s="9" t="s">
        <v>26</v>
      </c>
      <c r="B158" s="3" t="str">
        <f>"apanhou-peixe"&amp;L158</f>
        <v>apanhou-peixe6</v>
      </c>
      <c r="C158" s="8" t="s">
        <v>1269</v>
      </c>
      <c r="D158" s="4" t="str">
        <f>"selected(${apanhou-peixe"&amp;IF(L158=1,"",L158-1)&amp;"},'sim')"</f>
        <v>selected(${apanhou-peixe5},'sim')</v>
      </c>
      <c r="E158" s="8"/>
      <c r="F158" s="8"/>
      <c r="G158" s="8"/>
      <c r="H158" s="8"/>
      <c r="I158" s="8" t="s">
        <v>14</v>
      </c>
      <c r="J158" s="8"/>
      <c r="K158" s="8"/>
      <c r="L158" s="13">
        <f t="shared" si="5"/>
        <v>6</v>
      </c>
    </row>
    <row r="159" spans="1:12" x14ac:dyDescent="0.3">
      <c r="A159" s="32" t="s">
        <v>11</v>
      </c>
      <c r="B159" s="33" t="str">
        <f>"CAPTURAS"&amp;L160</f>
        <v>CAPTURAS7</v>
      </c>
      <c r="C159" s="34" t="str">
        <f>"${nome-local"&amp;L159&amp;"}"</f>
        <v>${nome-local7}</v>
      </c>
      <c r="D159" s="34" t="str">
        <f>"selected(${apanhou-peixe"&amp;IF(L159=1,"",L159-1)&amp;"},'sim')"</f>
        <v>selected(${apanhou-peixe6},'sim')</v>
      </c>
      <c r="E159" s="34"/>
      <c r="F159" s="34"/>
      <c r="G159" s="34"/>
      <c r="H159" s="34"/>
      <c r="I159" s="34"/>
      <c r="J159" s="34"/>
      <c r="K159" s="34"/>
      <c r="L159" s="13">
        <f>IF(C158="Apanhou mais algum peixe?", L158+1,L158)</f>
        <v>7</v>
      </c>
    </row>
    <row r="160" spans="1:12" x14ac:dyDescent="0.3">
      <c r="A160" s="9" t="s">
        <v>32</v>
      </c>
      <c r="B160" s="3" t="str">
        <f>"spilha"&amp;L160</f>
        <v>spilha7</v>
      </c>
      <c r="C160" s="8" t="s">
        <v>83</v>
      </c>
      <c r="D160" s="8"/>
      <c r="E160" s="8" t="s">
        <v>1000</v>
      </c>
      <c r="F160" s="8" t="s">
        <v>1260</v>
      </c>
      <c r="G160" s="8"/>
      <c r="H160" s="8"/>
      <c r="I160" s="8" t="s">
        <v>14</v>
      </c>
      <c r="L160" s="13">
        <f t="shared" ref="L160:L180" si="6">IF(C159="Apanhou mais algum peixe?", L159+1,L159)</f>
        <v>7</v>
      </c>
    </row>
    <row r="161" spans="1:12" ht="15.6" x14ac:dyDescent="0.3">
      <c r="A161" s="2" t="s">
        <v>3</v>
      </c>
      <c r="B161" s="3" t="str">
        <f>"outro"&amp;L161</f>
        <v>outro7</v>
      </c>
      <c r="C161" s="8" t="s">
        <v>1046</v>
      </c>
      <c r="D161" s="8" t="str">
        <f>"selected(${"&amp;B160&amp;"},'OUTRO-PEIXEprincipe') or selected(${"&amp;B160&amp;"},'OUTRO-PEIXEsaotome')"</f>
        <v>selected(${spilha7},'OUTRO-PEIXEprincipe') or selected(${spilha7},'OUTRO-PEIXEsaotome')</v>
      </c>
      <c r="E161" s="16"/>
      <c r="L161" s="13">
        <f t="shared" si="6"/>
        <v>7</v>
      </c>
    </row>
    <row r="162" spans="1:12" ht="15.6" x14ac:dyDescent="0.3">
      <c r="A162" s="2" t="s">
        <v>84</v>
      </c>
      <c r="B162" s="3" t="str">
        <f>"fotografia"&amp;L162</f>
        <v>fotografia7</v>
      </c>
      <c r="C162" s="8" t="s">
        <v>1417</v>
      </c>
      <c r="D162" s="8" t="str">
        <f>"selected(${"&amp;B160&amp;"},'OUTRO-PEIXEprincipe') or selected(${"&amp;B160&amp;"},'OUTRO-PEIXEsaotome')"</f>
        <v>selected(${spilha7},'OUTRO-PEIXEprincipe') or selected(${spilha7},'OUTRO-PEIXEsaotome')</v>
      </c>
      <c r="E162" s="16"/>
      <c r="L162" s="13">
        <f t="shared" si="6"/>
        <v>7</v>
      </c>
    </row>
    <row r="163" spans="1:12" ht="15.6" x14ac:dyDescent="0.3">
      <c r="A163" s="2" t="s">
        <v>195</v>
      </c>
      <c r="B163" s="3" t="str">
        <f>"n-obr"&amp;L163</f>
        <v>n-obr7</v>
      </c>
      <c r="C163" s="8"/>
      <c r="D163" s="8"/>
      <c r="E163" s="16"/>
      <c r="J163" s="31" t="str">
        <f>"instance('especies')/root/item[name    =    ${"&amp;B160&amp;"} ]/numero"</f>
        <v>instance('especies')/root/item[name    =    ${spilha7} ]/numero</v>
      </c>
      <c r="K163" s="31"/>
      <c r="L163" s="13">
        <f t="shared" si="6"/>
        <v>7</v>
      </c>
    </row>
    <row r="164" spans="1:12" ht="15.6" x14ac:dyDescent="0.3">
      <c r="A164" s="2" t="s">
        <v>195</v>
      </c>
      <c r="B164" s="3" t="str">
        <f>"p-obr"&amp;L164</f>
        <v>p-obr7</v>
      </c>
      <c r="C164" s="8"/>
      <c r="D164" s="8"/>
      <c r="E164" s="16"/>
      <c r="J164" s="31" t="str">
        <f>"instance('especies')/root/item[name    =    ${"&amp;B160&amp;"} ]/peso"</f>
        <v>instance('especies')/root/item[name    =    ${spilha7} ]/peso</v>
      </c>
      <c r="K164" s="31"/>
      <c r="L164" s="13">
        <f t="shared" si="6"/>
        <v>7</v>
      </c>
    </row>
    <row r="165" spans="1:12" ht="15.6" x14ac:dyDescent="0.3">
      <c r="A165" s="2" t="s">
        <v>195</v>
      </c>
      <c r="B165" s="3" t="str">
        <f>"nome-local"&amp;L165</f>
        <v>nome-local7</v>
      </c>
      <c r="E165" s="16"/>
      <c r="J165" s="4" t="str">
        <f>"if(${"&amp;B160&amp;"} = 'OUTRO-PEIXEprincipe' or ${"&amp;B160&amp;"} = 'OUTRO-PEIXEsaotome' ,       ${"&amp;B161&amp;"},        instance('especies')/root/item[name    =    ${"&amp;B160&amp;"} ]/nomelocal)"</f>
        <v>if(${spilha7} = 'OUTRO-PEIXEprincipe' or ${spilha7} = 'OUTRO-PEIXEsaotome' ,       ${outro7},        instance('especies')/root/item[name    =    ${spilha7} ]/nomelocal)</v>
      </c>
      <c r="L165" s="13">
        <f t="shared" si="6"/>
        <v>7</v>
      </c>
    </row>
    <row r="166" spans="1:12" x14ac:dyDescent="0.3">
      <c r="A166" s="35" t="s">
        <v>11</v>
      </c>
      <c r="B166" s="36" t="str">
        <f>"capA"&amp;L166</f>
        <v>capA7</v>
      </c>
      <c r="C166" s="37" t="str">
        <f>"PESO DE ${nome-local"&amp;L166&amp;"}"</f>
        <v>PESO DE ${nome-local7}</v>
      </c>
      <c r="D166" s="38" t="str">
        <f>"not(selected(${spilha"&amp;L166&amp;"},''))"</f>
        <v>not(selected(${spilha7},''))</v>
      </c>
      <c r="E166" s="38" t="s">
        <v>25</v>
      </c>
      <c r="F166" s="39"/>
      <c r="G166" s="38"/>
      <c r="H166" s="38"/>
      <c r="I166" s="38"/>
      <c r="J166" s="38"/>
      <c r="K166" s="38"/>
      <c r="L166" s="13">
        <f t="shared" si="6"/>
        <v>7</v>
      </c>
    </row>
    <row r="167" spans="1:12" x14ac:dyDescent="0.3">
      <c r="A167" s="2" t="s">
        <v>32</v>
      </c>
      <c r="B167" s="3" t="str">
        <f>"apagar-cA"&amp;L167</f>
        <v>apagar-cA7</v>
      </c>
      <c r="C167" s="4" t="str">
        <f>"${"&amp;B165&amp;"}"</f>
        <v>${nome-local7}</v>
      </c>
      <c r="E167" s="8" t="s">
        <v>132</v>
      </c>
      <c r="F167" s="8" t="str">
        <f>"name =${"&amp;B160&amp;"} or name='espaco'"</f>
        <v>name =${spilha7} or name='espaco'</v>
      </c>
      <c r="L167" s="13">
        <f t="shared" si="6"/>
        <v>7</v>
      </c>
    </row>
    <row r="168" spans="1:12" x14ac:dyDescent="0.3">
      <c r="A168" s="2" t="s">
        <v>4</v>
      </c>
      <c r="B168" s="3" t="str">
        <f>"numero-ob"&amp;L168</f>
        <v>numero-ob7</v>
      </c>
      <c r="C168" s="4" t="str">
        <f>"Numero de peixes de ${"&amp;B165&amp;"}?"</f>
        <v>Numero de peixes de ${nome-local7}?</v>
      </c>
      <c r="D168" s="4" t="str">
        <f>"selected(${"&amp;B163&amp;"},'obrigatorio')"</f>
        <v>selected(${n-obr7},'obrigatorio')</v>
      </c>
      <c r="I168" s="4" t="s">
        <v>14</v>
      </c>
      <c r="J168" s="26"/>
      <c r="K168" s="26"/>
      <c r="L168" s="13">
        <f t="shared" si="6"/>
        <v>7</v>
      </c>
    </row>
    <row r="169" spans="1:12" x14ac:dyDescent="0.3">
      <c r="A169" s="2" t="s">
        <v>4</v>
      </c>
      <c r="B169" s="3" t="str">
        <f>"numero-naoob"&amp;L169</f>
        <v>numero-naoob7</v>
      </c>
      <c r="C169" s="4" t="str">
        <f>"Numero de peixes de ${"&amp;B165&amp;"}?"</f>
        <v>Numero de peixes de ${nome-local7}?</v>
      </c>
      <c r="D169" s="4" t="str">
        <f>"selected(${"&amp;B163&amp;"},'nao-obrigatorio')"</f>
        <v>selected(${n-obr7},'nao-obrigatorio')</v>
      </c>
      <c r="J169" s="26"/>
      <c r="K169" s="26"/>
      <c r="L169" s="13">
        <f t="shared" si="6"/>
        <v>7</v>
      </c>
    </row>
    <row r="170" spans="1:12" x14ac:dyDescent="0.3">
      <c r="A170" s="2" t="s">
        <v>33</v>
      </c>
      <c r="B170" s="3" t="str">
        <f>"peso-ob"&amp;L170</f>
        <v>peso-ob7</v>
      </c>
      <c r="C170" s="4" t="str">
        <f>"Quantos kilos de ${"&amp;B165&amp;"}?"</f>
        <v>Quantos kilos de ${nome-local7}?</v>
      </c>
      <c r="D170" s="4" t="str">
        <f>"selected(${"&amp;B164&amp;"},'obrigatorio')"</f>
        <v>selected(${p-obr7},'obrigatorio')</v>
      </c>
      <c r="I170" s="4" t="s">
        <v>14</v>
      </c>
      <c r="L170" s="13">
        <f t="shared" si="6"/>
        <v>7</v>
      </c>
    </row>
    <row r="171" spans="1:12" x14ac:dyDescent="0.3">
      <c r="A171" s="2" t="s">
        <v>33</v>
      </c>
      <c r="B171" s="3" t="str">
        <f>"peso-naoob"&amp;L171</f>
        <v>peso-naoob7</v>
      </c>
      <c r="C171" s="4" t="str">
        <f>"Quantos kilos de ${"&amp;B165&amp;"}?"</f>
        <v>Quantos kilos de ${nome-local7}?</v>
      </c>
      <c r="D171" s="4" t="str">
        <f>"selected(${"&amp;B164&amp;"},'nao-obrigatorio')"</f>
        <v>selected(${p-obr7},'nao-obrigatorio')</v>
      </c>
      <c r="E171"/>
      <c r="L171" s="13">
        <f t="shared" si="6"/>
        <v>7</v>
      </c>
    </row>
    <row r="172" spans="1:12" x14ac:dyDescent="0.3">
      <c r="A172" s="2" t="s">
        <v>136</v>
      </c>
      <c r="B172" s="3" t="str">
        <f>"uso"&amp;L172</f>
        <v>uso7</v>
      </c>
      <c r="C172" s="4" t="str">
        <f>"O ${"&amp;B165&amp;"} é para consumo, venda, salga ou São Pedro?"</f>
        <v>O ${nome-local7} é para consumo, venda, salga ou São Pedro?</v>
      </c>
      <c r="I172" s="4" t="s">
        <v>14</v>
      </c>
      <c r="L172" s="13">
        <f t="shared" si="6"/>
        <v>7</v>
      </c>
    </row>
    <row r="173" spans="1:12" x14ac:dyDescent="0.3">
      <c r="A173" s="35" t="s">
        <v>21</v>
      </c>
      <c r="B173" s="36"/>
      <c r="C173" s="37"/>
      <c r="D173" s="38"/>
      <c r="E173" s="38"/>
      <c r="F173" s="39"/>
      <c r="G173" s="38"/>
      <c r="H173" s="38"/>
      <c r="I173" s="38"/>
      <c r="J173" s="38"/>
      <c r="K173" s="38"/>
      <c r="L173" s="13">
        <f t="shared" si="6"/>
        <v>7</v>
      </c>
    </row>
    <row r="174" spans="1:12" x14ac:dyDescent="0.3">
      <c r="A174" s="35" t="s">
        <v>11</v>
      </c>
      <c r="B174" s="36" t="str">
        <f>"capB"&amp;L174</f>
        <v>capB7</v>
      </c>
      <c r="C174" s="37" t="str">
        <f>"PREÇO DE ${nome-local"&amp;L174&amp;"}"</f>
        <v>PREÇO DE ${nome-local7}</v>
      </c>
      <c r="D174" s="38" t="str">
        <f>"selected(${"&amp;B172&amp;"},'venda')"</f>
        <v>selected(${uso7},'venda')</v>
      </c>
      <c r="E174" s="38" t="s">
        <v>25</v>
      </c>
      <c r="F174" s="39"/>
      <c r="G174" s="38"/>
      <c r="H174" s="38"/>
      <c r="I174" s="38"/>
      <c r="J174" s="38"/>
      <c r="K174" s="38"/>
      <c r="L174" s="13">
        <f t="shared" si="6"/>
        <v>7</v>
      </c>
    </row>
    <row r="175" spans="1:12" x14ac:dyDescent="0.3">
      <c r="A175" s="2" t="s">
        <v>32</v>
      </c>
      <c r="B175" s="3" t="str">
        <f>"apagar-cB"&amp;L175</f>
        <v>apagar-cB7</v>
      </c>
      <c r="C175" s="4" t="str">
        <f>"PREÇO DE ${"&amp;B165&amp;"}"</f>
        <v>PREÇO DE ${nome-local7}</v>
      </c>
      <c r="E175" s="8" t="s">
        <v>132</v>
      </c>
      <c r="F175" s="8" t="str">
        <f>"name =${"&amp;B160&amp;"} or name='espaco'"</f>
        <v>name =${spilha7} or name='espaco'</v>
      </c>
      <c r="L175" s="13">
        <f t="shared" si="6"/>
        <v>7</v>
      </c>
    </row>
    <row r="176" spans="1:12" x14ac:dyDescent="0.3">
      <c r="A176" s="2" t="s">
        <v>4</v>
      </c>
      <c r="B176" s="3" t="str">
        <f>"preco"&amp;L176</f>
        <v>preco7</v>
      </c>
      <c r="C176" s="4" t="str">
        <f>"Preço de ${"&amp;B165&amp;"}? (em DOBRAS)"</f>
        <v>Preço de ${nome-local7}? (em DOBRAS)</v>
      </c>
      <c r="I176" s="4" t="s">
        <v>14</v>
      </c>
      <c r="L176" s="13">
        <f t="shared" si="6"/>
        <v>7</v>
      </c>
    </row>
    <row r="177" spans="1:12" x14ac:dyDescent="0.3">
      <c r="A177" s="2" t="s">
        <v>39</v>
      </c>
      <c r="B177" s="3" t="str">
        <f>"unidade-preco"&amp;L177</f>
        <v>unidade-preco7</v>
      </c>
      <c r="C177" s="4" t="s">
        <v>60</v>
      </c>
      <c r="I177" s="4" t="s">
        <v>14</v>
      </c>
      <c r="L177" s="13">
        <f t="shared" si="6"/>
        <v>7</v>
      </c>
    </row>
    <row r="178" spans="1:12" ht="15" customHeight="1" x14ac:dyDescent="0.3">
      <c r="A178" s="35" t="s">
        <v>21</v>
      </c>
      <c r="B178" s="36"/>
      <c r="C178" s="37"/>
      <c r="D178" s="38"/>
      <c r="E178" s="38"/>
      <c r="F178" s="39"/>
      <c r="G178" s="38"/>
      <c r="H178" s="38"/>
      <c r="I178" s="38"/>
      <c r="J178" s="38"/>
      <c r="K178" s="38"/>
      <c r="L178" s="13">
        <f t="shared" si="6"/>
        <v>7</v>
      </c>
    </row>
    <row r="179" spans="1:12" x14ac:dyDescent="0.3">
      <c r="A179" s="32" t="s">
        <v>21</v>
      </c>
      <c r="B179" s="33"/>
      <c r="C179" s="34"/>
      <c r="D179" s="34"/>
      <c r="E179" s="34"/>
      <c r="F179" s="34"/>
      <c r="G179" s="34"/>
      <c r="H179" s="34"/>
      <c r="I179" s="34"/>
      <c r="J179" s="34"/>
      <c r="K179" s="34"/>
      <c r="L179" s="13">
        <f t="shared" si="6"/>
        <v>7</v>
      </c>
    </row>
    <row r="180" spans="1:12" s="13" customFormat="1" x14ac:dyDescent="0.3">
      <c r="A180" s="9" t="s">
        <v>26</v>
      </c>
      <c r="B180" s="3" t="str">
        <f>"apanhou-peixe"&amp;L180</f>
        <v>apanhou-peixe7</v>
      </c>
      <c r="C180" s="8" t="s">
        <v>1269</v>
      </c>
      <c r="D180" s="4" t="str">
        <f>"selected(${apanhou-peixe"&amp;IF(L180=1,"",L180-1)&amp;"},'sim')"</f>
        <v>selected(${apanhou-peixe6},'sim')</v>
      </c>
      <c r="E180" s="8"/>
      <c r="F180" s="8"/>
      <c r="G180" s="8"/>
      <c r="H180" s="8"/>
      <c r="I180" s="8" t="s">
        <v>14</v>
      </c>
      <c r="J180" s="8"/>
      <c r="K180" s="8"/>
      <c r="L180" s="13">
        <f t="shared" si="6"/>
        <v>7</v>
      </c>
    </row>
    <row r="181" spans="1:12" x14ac:dyDescent="0.3">
      <c r="A181" s="32" t="s">
        <v>11</v>
      </c>
      <c r="B181" s="33" t="str">
        <f>"CAPTURAS"&amp;L182</f>
        <v>CAPTURAS8</v>
      </c>
      <c r="C181" s="34" t="str">
        <f>"${nome-local"&amp;L181&amp;"}"</f>
        <v>${nome-local8}</v>
      </c>
      <c r="D181" s="34" t="str">
        <f>"selected(${apanhou-peixe"&amp;IF(L181=1,"",L181-1)&amp;"},'sim')"</f>
        <v>selected(${apanhou-peixe7},'sim')</v>
      </c>
      <c r="E181" s="34"/>
      <c r="F181" s="34"/>
      <c r="G181" s="34"/>
      <c r="H181" s="34"/>
      <c r="I181" s="34"/>
      <c r="J181" s="34"/>
      <c r="K181" s="34"/>
      <c r="L181" s="13">
        <f>IF(C180="Apanhou mais algum peixe?", L180+1,L180)</f>
        <v>8</v>
      </c>
    </row>
    <row r="182" spans="1:12" x14ac:dyDescent="0.3">
      <c r="A182" s="9" t="s">
        <v>32</v>
      </c>
      <c r="B182" s="3" t="str">
        <f>"spilha"&amp;L182</f>
        <v>spilha8</v>
      </c>
      <c r="C182" s="8" t="s">
        <v>83</v>
      </c>
      <c r="D182" s="8"/>
      <c r="E182" s="8" t="s">
        <v>1000</v>
      </c>
      <c r="F182" s="8" t="s">
        <v>1260</v>
      </c>
      <c r="G182" s="8"/>
      <c r="H182" s="8"/>
      <c r="I182" s="8" t="s">
        <v>14</v>
      </c>
      <c r="L182" s="13">
        <f t="shared" ref="L182:L202" si="7">IF(C181="Apanhou mais algum peixe?", L181+1,L181)</f>
        <v>8</v>
      </c>
    </row>
    <row r="183" spans="1:12" ht="15.6" x14ac:dyDescent="0.3">
      <c r="A183" s="2" t="s">
        <v>3</v>
      </c>
      <c r="B183" s="3" t="str">
        <f>"outro"&amp;L183</f>
        <v>outro8</v>
      </c>
      <c r="C183" s="8" t="s">
        <v>1046</v>
      </c>
      <c r="D183" s="8" t="str">
        <f>"selected(${"&amp;B182&amp;"},'OUTRO-PEIXEprincipe') or selected(${"&amp;B182&amp;"},'OUTRO-PEIXEsaotome')"</f>
        <v>selected(${spilha8},'OUTRO-PEIXEprincipe') or selected(${spilha8},'OUTRO-PEIXEsaotome')</v>
      </c>
      <c r="E183" s="16"/>
      <c r="L183" s="13">
        <f t="shared" si="7"/>
        <v>8</v>
      </c>
    </row>
    <row r="184" spans="1:12" ht="15.6" x14ac:dyDescent="0.3">
      <c r="A184" s="2" t="s">
        <v>84</v>
      </c>
      <c r="B184" s="3" t="str">
        <f>"fotografia"&amp;L184</f>
        <v>fotografia8</v>
      </c>
      <c r="C184" s="8" t="s">
        <v>1417</v>
      </c>
      <c r="D184" s="8" t="str">
        <f>"selected(${"&amp;B182&amp;"},'OUTRO-PEIXEprincipe') or selected(${"&amp;B182&amp;"},'OUTRO-PEIXEsaotome')"</f>
        <v>selected(${spilha8},'OUTRO-PEIXEprincipe') or selected(${spilha8},'OUTRO-PEIXEsaotome')</v>
      </c>
      <c r="E184" s="16"/>
      <c r="L184" s="13">
        <f t="shared" si="7"/>
        <v>8</v>
      </c>
    </row>
    <row r="185" spans="1:12" ht="15.6" x14ac:dyDescent="0.3">
      <c r="A185" s="2" t="s">
        <v>195</v>
      </c>
      <c r="B185" s="3" t="str">
        <f>"n-obr"&amp;L185</f>
        <v>n-obr8</v>
      </c>
      <c r="C185" s="8"/>
      <c r="D185" s="8"/>
      <c r="E185" s="16"/>
      <c r="J185" s="31" t="str">
        <f>"instance('especies')/root/item[name    =    ${"&amp;B182&amp;"} ]/numero"</f>
        <v>instance('especies')/root/item[name    =    ${spilha8} ]/numero</v>
      </c>
      <c r="K185" s="31"/>
      <c r="L185" s="13">
        <f t="shared" si="7"/>
        <v>8</v>
      </c>
    </row>
    <row r="186" spans="1:12" ht="15.6" x14ac:dyDescent="0.3">
      <c r="A186" s="2" t="s">
        <v>195</v>
      </c>
      <c r="B186" s="3" t="str">
        <f>"p-obr"&amp;L186</f>
        <v>p-obr8</v>
      </c>
      <c r="C186" s="8"/>
      <c r="D186" s="8"/>
      <c r="E186" s="16"/>
      <c r="J186" s="31" t="str">
        <f>"instance('especies')/root/item[name    =    ${"&amp;B182&amp;"} ]/peso"</f>
        <v>instance('especies')/root/item[name    =    ${spilha8} ]/peso</v>
      </c>
      <c r="K186" s="31"/>
      <c r="L186" s="13">
        <f t="shared" si="7"/>
        <v>8</v>
      </c>
    </row>
    <row r="187" spans="1:12" ht="15.6" x14ac:dyDescent="0.3">
      <c r="A187" s="2" t="s">
        <v>195</v>
      </c>
      <c r="B187" s="3" t="str">
        <f>"nome-local"&amp;L187</f>
        <v>nome-local8</v>
      </c>
      <c r="E187" s="16"/>
      <c r="J187" s="4" t="str">
        <f>"if(${"&amp;B182&amp;"} = 'OUTRO-PEIXEprincipe' or ${"&amp;B182&amp;"} = 'OUTRO-PEIXEsaotome' ,       ${"&amp;B183&amp;"},        instance('especies')/root/item[name    =    ${"&amp;B182&amp;"} ]/nomelocal)"</f>
        <v>if(${spilha8} = 'OUTRO-PEIXEprincipe' or ${spilha8} = 'OUTRO-PEIXEsaotome' ,       ${outro8},        instance('especies')/root/item[name    =    ${spilha8} ]/nomelocal)</v>
      </c>
      <c r="L187" s="13">
        <f t="shared" si="7"/>
        <v>8</v>
      </c>
    </row>
    <row r="188" spans="1:12" x14ac:dyDescent="0.3">
      <c r="A188" s="35" t="s">
        <v>11</v>
      </c>
      <c r="B188" s="36" t="str">
        <f>"capA"&amp;L188</f>
        <v>capA8</v>
      </c>
      <c r="C188" s="37" t="str">
        <f>"PESO DE ${nome-local"&amp;L188&amp;"}"</f>
        <v>PESO DE ${nome-local8}</v>
      </c>
      <c r="D188" s="38" t="str">
        <f>"not(selected(${spilha"&amp;L188&amp;"},''))"</f>
        <v>not(selected(${spilha8},''))</v>
      </c>
      <c r="E188" s="38" t="s">
        <v>25</v>
      </c>
      <c r="F188" s="39"/>
      <c r="G188" s="38"/>
      <c r="H188" s="38"/>
      <c r="I188" s="38"/>
      <c r="J188" s="38"/>
      <c r="K188" s="38"/>
      <c r="L188" s="13">
        <f t="shared" si="7"/>
        <v>8</v>
      </c>
    </row>
    <row r="189" spans="1:12" x14ac:dyDescent="0.3">
      <c r="A189" s="2" t="s">
        <v>32</v>
      </c>
      <c r="B189" s="3" t="str">
        <f>"apagar-cA"&amp;L189</f>
        <v>apagar-cA8</v>
      </c>
      <c r="C189" s="4" t="str">
        <f>"${"&amp;B187&amp;"}"</f>
        <v>${nome-local8}</v>
      </c>
      <c r="E189" s="8" t="s">
        <v>132</v>
      </c>
      <c r="F189" s="8" t="str">
        <f>"name =${"&amp;B182&amp;"} or name='espaco'"</f>
        <v>name =${spilha8} or name='espaco'</v>
      </c>
      <c r="L189" s="13">
        <f t="shared" si="7"/>
        <v>8</v>
      </c>
    </row>
    <row r="190" spans="1:12" x14ac:dyDescent="0.3">
      <c r="A190" s="2" t="s">
        <v>4</v>
      </c>
      <c r="B190" s="3" t="str">
        <f>"numero-ob"&amp;L190</f>
        <v>numero-ob8</v>
      </c>
      <c r="C190" s="4" t="str">
        <f>"Numero de peixes de ${"&amp;B187&amp;"}?"</f>
        <v>Numero de peixes de ${nome-local8}?</v>
      </c>
      <c r="D190" s="4" t="str">
        <f>"selected(${"&amp;B185&amp;"},'obrigatorio')"</f>
        <v>selected(${n-obr8},'obrigatorio')</v>
      </c>
      <c r="I190" s="4" t="s">
        <v>14</v>
      </c>
      <c r="J190" s="26"/>
      <c r="K190" s="26"/>
      <c r="L190" s="13">
        <f t="shared" si="7"/>
        <v>8</v>
      </c>
    </row>
    <row r="191" spans="1:12" x14ac:dyDescent="0.3">
      <c r="A191" s="2" t="s">
        <v>4</v>
      </c>
      <c r="B191" s="3" t="str">
        <f>"numero-naoob"&amp;L191</f>
        <v>numero-naoob8</v>
      </c>
      <c r="C191" s="4" t="str">
        <f>"Numero de peixes de ${"&amp;B187&amp;"}?"</f>
        <v>Numero de peixes de ${nome-local8}?</v>
      </c>
      <c r="D191" s="4" t="str">
        <f>"selected(${"&amp;B185&amp;"},'nao-obrigatorio')"</f>
        <v>selected(${n-obr8},'nao-obrigatorio')</v>
      </c>
      <c r="J191" s="26"/>
      <c r="K191" s="26"/>
      <c r="L191" s="13">
        <f t="shared" si="7"/>
        <v>8</v>
      </c>
    </row>
    <row r="192" spans="1:12" x14ac:dyDescent="0.3">
      <c r="A192" s="2" t="s">
        <v>33</v>
      </c>
      <c r="B192" s="3" t="str">
        <f>"peso-ob"&amp;L192</f>
        <v>peso-ob8</v>
      </c>
      <c r="C192" s="4" t="str">
        <f>"Quantos kilos de ${"&amp;B187&amp;"}?"</f>
        <v>Quantos kilos de ${nome-local8}?</v>
      </c>
      <c r="D192" s="4" t="str">
        <f>"selected(${"&amp;B186&amp;"},'obrigatorio')"</f>
        <v>selected(${p-obr8},'obrigatorio')</v>
      </c>
      <c r="I192" s="4" t="s">
        <v>14</v>
      </c>
      <c r="L192" s="13">
        <f t="shared" si="7"/>
        <v>8</v>
      </c>
    </row>
    <row r="193" spans="1:12" x14ac:dyDescent="0.3">
      <c r="A193" s="2" t="s">
        <v>33</v>
      </c>
      <c r="B193" s="3" t="str">
        <f>"peso-naoob"&amp;L193</f>
        <v>peso-naoob8</v>
      </c>
      <c r="C193" s="4" t="str">
        <f>"Quantos kilos de ${"&amp;B187&amp;"}?"</f>
        <v>Quantos kilos de ${nome-local8}?</v>
      </c>
      <c r="D193" s="4" t="str">
        <f>"selected(${"&amp;B186&amp;"},'nao-obrigatorio')"</f>
        <v>selected(${p-obr8},'nao-obrigatorio')</v>
      </c>
      <c r="E193"/>
      <c r="L193" s="13">
        <f t="shared" si="7"/>
        <v>8</v>
      </c>
    </row>
    <row r="194" spans="1:12" x14ac:dyDescent="0.3">
      <c r="A194" s="2" t="s">
        <v>136</v>
      </c>
      <c r="B194" s="3" t="str">
        <f>"uso"&amp;L194</f>
        <v>uso8</v>
      </c>
      <c r="C194" s="4" t="str">
        <f>"O ${"&amp;B187&amp;"} é para consumo, venda, salga ou São Pedro?"</f>
        <v>O ${nome-local8} é para consumo, venda, salga ou São Pedro?</v>
      </c>
      <c r="I194" s="4" t="s">
        <v>14</v>
      </c>
      <c r="L194" s="13">
        <f t="shared" si="7"/>
        <v>8</v>
      </c>
    </row>
    <row r="195" spans="1:12" x14ac:dyDescent="0.3">
      <c r="A195" s="35" t="s">
        <v>21</v>
      </c>
      <c r="B195" s="36"/>
      <c r="C195" s="37"/>
      <c r="D195" s="38"/>
      <c r="E195" s="38"/>
      <c r="F195" s="39"/>
      <c r="G195" s="38"/>
      <c r="H195" s="38"/>
      <c r="I195" s="38"/>
      <c r="J195" s="38"/>
      <c r="K195" s="38"/>
      <c r="L195" s="13">
        <f t="shared" si="7"/>
        <v>8</v>
      </c>
    </row>
    <row r="196" spans="1:12" x14ac:dyDescent="0.3">
      <c r="A196" s="35" t="s">
        <v>11</v>
      </c>
      <c r="B196" s="36" t="str">
        <f>"capB"&amp;L196</f>
        <v>capB8</v>
      </c>
      <c r="C196" s="37" t="str">
        <f>"PREÇO DE ${nome-local"&amp;L196&amp;"}"</f>
        <v>PREÇO DE ${nome-local8}</v>
      </c>
      <c r="D196" s="38" t="str">
        <f>"selected(${"&amp;B194&amp;"},'venda')"</f>
        <v>selected(${uso8},'venda')</v>
      </c>
      <c r="E196" s="38" t="s">
        <v>25</v>
      </c>
      <c r="F196" s="39"/>
      <c r="G196" s="38"/>
      <c r="H196" s="38"/>
      <c r="I196" s="38"/>
      <c r="J196" s="38"/>
      <c r="K196" s="38"/>
      <c r="L196" s="13">
        <f t="shared" si="7"/>
        <v>8</v>
      </c>
    </row>
    <row r="197" spans="1:12" x14ac:dyDescent="0.3">
      <c r="A197" s="2" t="s">
        <v>32</v>
      </c>
      <c r="B197" s="3" t="str">
        <f>"apagar-cB"&amp;L197</f>
        <v>apagar-cB8</v>
      </c>
      <c r="C197" s="4" t="str">
        <f>"PREÇO DE ${"&amp;B187&amp;"}"</f>
        <v>PREÇO DE ${nome-local8}</v>
      </c>
      <c r="E197" s="8" t="s">
        <v>132</v>
      </c>
      <c r="F197" s="8" t="str">
        <f>"name =${"&amp;B182&amp;"} or name='espaco'"</f>
        <v>name =${spilha8} or name='espaco'</v>
      </c>
      <c r="L197" s="13">
        <f t="shared" si="7"/>
        <v>8</v>
      </c>
    </row>
    <row r="198" spans="1:12" x14ac:dyDescent="0.3">
      <c r="A198" s="2" t="s">
        <v>4</v>
      </c>
      <c r="B198" s="3" t="str">
        <f>"preco"&amp;L198</f>
        <v>preco8</v>
      </c>
      <c r="C198" s="4" t="str">
        <f>"Preço de ${"&amp;B187&amp;"}? (em DOBRAS)"</f>
        <v>Preço de ${nome-local8}? (em DOBRAS)</v>
      </c>
      <c r="I198" s="4" t="s">
        <v>14</v>
      </c>
      <c r="L198" s="13">
        <f t="shared" si="7"/>
        <v>8</v>
      </c>
    </row>
    <row r="199" spans="1:12" x14ac:dyDescent="0.3">
      <c r="A199" s="2" t="s">
        <v>39</v>
      </c>
      <c r="B199" s="3" t="str">
        <f>"unidade-preco"&amp;L199</f>
        <v>unidade-preco8</v>
      </c>
      <c r="C199" s="4" t="s">
        <v>60</v>
      </c>
      <c r="I199" s="4" t="s">
        <v>14</v>
      </c>
      <c r="L199" s="13">
        <f t="shared" si="7"/>
        <v>8</v>
      </c>
    </row>
    <row r="200" spans="1:12" ht="15" customHeight="1" x14ac:dyDescent="0.3">
      <c r="A200" s="35" t="s">
        <v>21</v>
      </c>
      <c r="B200" s="36"/>
      <c r="C200" s="37"/>
      <c r="D200" s="38"/>
      <c r="E200" s="38"/>
      <c r="F200" s="39"/>
      <c r="G200" s="38"/>
      <c r="H200" s="38"/>
      <c r="I200" s="38"/>
      <c r="J200" s="38"/>
      <c r="K200" s="38"/>
      <c r="L200" s="13">
        <f t="shared" si="7"/>
        <v>8</v>
      </c>
    </row>
    <row r="201" spans="1:12" x14ac:dyDescent="0.3">
      <c r="A201" s="32" t="s">
        <v>21</v>
      </c>
      <c r="B201" s="33"/>
      <c r="C201" s="34"/>
      <c r="D201" s="34"/>
      <c r="E201" s="34"/>
      <c r="F201" s="34"/>
      <c r="G201" s="34"/>
      <c r="H201" s="34"/>
      <c r="I201" s="34"/>
      <c r="J201" s="34"/>
      <c r="K201" s="34"/>
      <c r="L201" s="13">
        <f t="shared" si="7"/>
        <v>8</v>
      </c>
    </row>
    <row r="202" spans="1:12" s="13" customFormat="1" x14ac:dyDescent="0.3">
      <c r="A202" s="9" t="s">
        <v>26</v>
      </c>
      <c r="B202" s="3" t="str">
        <f>"apanhou-peixe"&amp;L202</f>
        <v>apanhou-peixe8</v>
      </c>
      <c r="C202" s="8" t="s">
        <v>1269</v>
      </c>
      <c r="D202" s="4" t="str">
        <f>"selected(${apanhou-peixe"&amp;IF(L202=1,"",L202-1)&amp;"},'sim')"</f>
        <v>selected(${apanhou-peixe7},'sim')</v>
      </c>
      <c r="E202" s="8"/>
      <c r="F202" s="8"/>
      <c r="G202" s="8"/>
      <c r="H202" s="8"/>
      <c r="I202" s="8" t="s">
        <v>14</v>
      </c>
      <c r="J202" s="8"/>
      <c r="K202" s="8"/>
      <c r="L202" s="13">
        <f t="shared" si="7"/>
        <v>8</v>
      </c>
    </row>
    <row r="203" spans="1:12" x14ac:dyDescent="0.3">
      <c r="A203" s="32" t="s">
        <v>11</v>
      </c>
      <c r="B203" s="33" t="str">
        <f>"CAPTURAS"&amp;L204</f>
        <v>CAPTURAS9</v>
      </c>
      <c r="C203" s="34" t="str">
        <f>"${nome-local"&amp;L203&amp;"}"</f>
        <v>${nome-local9}</v>
      </c>
      <c r="D203" s="34" t="str">
        <f>"selected(${apanhou-peixe"&amp;IF(L203=1,"",L203-1)&amp;"},'sim')"</f>
        <v>selected(${apanhou-peixe8},'sim')</v>
      </c>
      <c r="E203" s="34"/>
      <c r="F203" s="34"/>
      <c r="G203" s="34"/>
      <c r="H203" s="34"/>
      <c r="I203" s="34"/>
      <c r="J203" s="34"/>
      <c r="K203" s="34"/>
      <c r="L203" s="13">
        <f>IF(C202="Apanhou mais algum peixe?", L202+1,L202)</f>
        <v>9</v>
      </c>
    </row>
    <row r="204" spans="1:12" x14ac:dyDescent="0.3">
      <c r="A204" s="9" t="s">
        <v>32</v>
      </c>
      <c r="B204" s="3" t="str">
        <f>"spilha"&amp;L204</f>
        <v>spilha9</v>
      </c>
      <c r="C204" s="8" t="s">
        <v>83</v>
      </c>
      <c r="D204" s="8"/>
      <c r="E204" s="8" t="s">
        <v>1000</v>
      </c>
      <c r="F204" s="8" t="s">
        <v>1260</v>
      </c>
      <c r="G204" s="8"/>
      <c r="H204" s="8"/>
      <c r="I204" s="8" t="s">
        <v>14</v>
      </c>
      <c r="L204" s="13">
        <f t="shared" ref="L204:L224" si="8">IF(C203="Apanhou mais algum peixe?", L203+1,L203)</f>
        <v>9</v>
      </c>
    </row>
    <row r="205" spans="1:12" ht="15.6" x14ac:dyDescent="0.3">
      <c r="A205" s="2" t="s">
        <v>3</v>
      </c>
      <c r="B205" s="3" t="str">
        <f>"outro"&amp;L205</f>
        <v>outro9</v>
      </c>
      <c r="C205" s="8" t="s">
        <v>1046</v>
      </c>
      <c r="D205" s="8" t="str">
        <f>"selected(${"&amp;B204&amp;"},'OUTRO-PEIXEprincipe') or selected(${"&amp;B204&amp;"},'OUTRO-PEIXEsaotome')"</f>
        <v>selected(${spilha9},'OUTRO-PEIXEprincipe') or selected(${spilha9},'OUTRO-PEIXEsaotome')</v>
      </c>
      <c r="E205" s="16"/>
      <c r="L205" s="13">
        <f t="shared" si="8"/>
        <v>9</v>
      </c>
    </row>
    <row r="206" spans="1:12" ht="15.6" x14ac:dyDescent="0.3">
      <c r="A206" s="2" t="s">
        <v>84</v>
      </c>
      <c r="B206" s="3" t="str">
        <f>"fotografia"&amp;L206</f>
        <v>fotografia9</v>
      </c>
      <c r="C206" s="8" t="s">
        <v>1417</v>
      </c>
      <c r="D206" s="8" t="str">
        <f>"selected(${"&amp;B204&amp;"},'OUTRO-PEIXEprincipe') or selected(${"&amp;B204&amp;"},'OUTRO-PEIXEsaotome')"</f>
        <v>selected(${spilha9},'OUTRO-PEIXEprincipe') or selected(${spilha9},'OUTRO-PEIXEsaotome')</v>
      </c>
      <c r="E206" s="16"/>
      <c r="L206" s="13">
        <f t="shared" si="8"/>
        <v>9</v>
      </c>
    </row>
    <row r="207" spans="1:12" ht="15.6" x14ac:dyDescent="0.3">
      <c r="A207" s="2" t="s">
        <v>195</v>
      </c>
      <c r="B207" s="3" t="str">
        <f>"n-obr"&amp;L207</f>
        <v>n-obr9</v>
      </c>
      <c r="C207" s="8"/>
      <c r="D207" s="8"/>
      <c r="E207" s="16"/>
      <c r="J207" s="31" t="str">
        <f>"instance('especies')/root/item[name    =    ${"&amp;B204&amp;"} ]/numero"</f>
        <v>instance('especies')/root/item[name    =    ${spilha9} ]/numero</v>
      </c>
      <c r="K207" s="31"/>
      <c r="L207" s="13">
        <f t="shared" si="8"/>
        <v>9</v>
      </c>
    </row>
    <row r="208" spans="1:12" ht="15.6" x14ac:dyDescent="0.3">
      <c r="A208" s="2" t="s">
        <v>195</v>
      </c>
      <c r="B208" s="3" t="str">
        <f>"p-obr"&amp;L208</f>
        <v>p-obr9</v>
      </c>
      <c r="C208" s="8"/>
      <c r="D208" s="8"/>
      <c r="E208" s="16"/>
      <c r="J208" s="31" t="str">
        <f>"instance('especies')/root/item[name    =    ${"&amp;B204&amp;"} ]/peso"</f>
        <v>instance('especies')/root/item[name    =    ${spilha9} ]/peso</v>
      </c>
      <c r="K208" s="31"/>
      <c r="L208" s="13">
        <f t="shared" si="8"/>
        <v>9</v>
      </c>
    </row>
    <row r="209" spans="1:12" ht="15.6" x14ac:dyDescent="0.3">
      <c r="A209" s="2" t="s">
        <v>195</v>
      </c>
      <c r="B209" s="3" t="str">
        <f>"nome-local"&amp;L209</f>
        <v>nome-local9</v>
      </c>
      <c r="E209" s="16"/>
      <c r="J209" s="4" t="str">
        <f>"if(${"&amp;B204&amp;"} = 'OUTRO-PEIXEprincipe' or ${"&amp;B204&amp;"} = 'OUTRO-PEIXEsaotome' ,       ${"&amp;B205&amp;"},        instance('especies')/root/item[name    =    ${"&amp;B204&amp;"} ]/nomelocal)"</f>
        <v>if(${spilha9} = 'OUTRO-PEIXEprincipe' or ${spilha9} = 'OUTRO-PEIXEsaotome' ,       ${outro9},        instance('especies')/root/item[name    =    ${spilha9} ]/nomelocal)</v>
      </c>
      <c r="L209" s="13">
        <f t="shared" si="8"/>
        <v>9</v>
      </c>
    </row>
    <row r="210" spans="1:12" x14ac:dyDescent="0.3">
      <c r="A210" s="35" t="s">
        <v>11</v>
      </c>
      <c r="B210" s="36" t="str">
        <f>"capA"&amp;L210</f>
        <v>capA9</v>
      </c>
      <c r="C210" s="37" t="str">
        <f>"PESO DE ${nome-local"&amp;L210&amp;"}"</f>
        <v>PESO DE ${nome-local9}</v>
      </c>
      <c r="D210" s="38" t="str">
        <f>"not(selected(${spilha"&amp;L210&amp;"},''))"</f>
        <v>not(selected(${spilha9},''))</v>
      </c>
      <c r="E210" s="38" t="s">
        <v>25</v>
      </c>
      <c r="F210" s="39"/>
      <c r="G210" s="38"/>
      <c r="H210" s="38"/>
      <c r="I210" s="38"/>
      <c r="J210" s="38"/>
      <c r="K210" s="38"/>
      <c r="L210" s="13">
        <f t="shared" si="8"/>
        <v>9</v>
      </c>
    </row>
    <row r="211" spans="1:12" x14ac:dyDescent="0.3">
      <c r="A211" s="2" t="s">
        <v>32</v>
      </c>
      <c r="B211" s="3" t="str">
        <f>"apagar-cA"&amp;L211</f>
        <v>apagar-cA9</v>
      </c>
      <c r="C211" s="4" t="str">
        <f>"${"&amp;B209&amp;"}"</f>
        <v>${nome-local9}</v>
      </c>
      <c r="E211" s="8" t="s">
        <v>132</v>
      </c>
      <c r="F211" s="8" t="str">
        <f>"name =${"&amp;B204&amp;"} or name='espaco'"</f>
        <v>name =${spilha9} or name='espaco'</v>
      </c>
      <c r="L211" s="13">
        <f t="shared" si="8"/>
        <v>9</v>
      </c>
    </row>
    <row r="212" spans="1:12" x14ac:dyDescent="0.3">
      <c r="A212" s="2" t="s">
        <v>4</v>
      </c>
      <c r="B212" s="3" t="str">
        <f>"numero-ob"&amp;L212</f>
        <v>numero-ob9</v>
      </c>
      <c r="C212" s="4" t="str">
        <f>"Numero de peixes de ${"&amp;B209&amp;"}?"</f>
        <v>Numero de peixes de ${nome-local9}?</v>
      </c>
      <c r="D212" s="4" t="str">
        <f>"selected(${"&amp;B207&amp;"},'obrigatorio')"</f>
        <v>selected(${n-obr9},'obrigatorio')</v>
      </c>
      <c r="I212" s="4" t="s">
        <v>14</v>
      </c>
      <c r="J212" s="26"/>
      <c r="K212" s="26"/>
      <c r="L212" s="13">
        <f t="shared" si="8"/>
        <v>9</v>
      </c>
    </row>
    <row r="213" spans="1:12" x14ac:dyDescent="0.3">
      <c r="A213" s="2" t="s">
        <v>4</v>
      </c>
      <c r="B213" s="3" t="str">
        <f>"numero-naoob"&amp;L213</f>
        <v>numero-naoob9</v>
      </c>
      <c r="C213" s="4" t="str">
        <f>"Numero de peixes de ${"&amp;B209&amp;"}?"</f>
        <v>Numero de peixes de ${nome-local9}?</v>
      </c>
      <c r="D213" s="4" t="str">
        <f>"selected(${"&amp;B207&amp;"},'nao-obrigatorio')"</f>
        <v>selected(${n-obr9},'nao-obrigatorio')</v>
      </c>
      <c r="J213" s="26"/>
      <c r="K213" s="26"/>
      <c r="L213" s="13">
        <f t="shared" si="8"/>
        <v>9</v>
      </c>
    </row>
    <row r="214" spans="1:12" x14ac:dyDescent="0.3">
      <c r="A214" s="2" t="s">
        <v>33</v>
      </c>
      <c r="B214" s="3" t="str">
        <f>"peso-ob"&amp;L214</f>
        <v>peso-ob9</v>
      </c>
      <c r="C214" s="4" t="str">
        <f>"Quantos kilos de ${"&amp;B209&amp;"}?"</f>
        <v>Quantos kilos de ${nome-local9}?</v>
      </c>
      <c r="D214" s="4" t="str">
        <f>"selected(${"&amp;B208&amp;"},'obrigatorio')"</f>
        <v>selected(${p-obr9},'obrigatorio')</v>
      </c>
      <c r="I214" s="4" t="s">
        <v>14</v>
      </c>
      <c r="L214" s="13">
        <f t="shared" si="8"/>
        <v>9</v>
      </c>
    </row>
    <row r="215" spans="1:12" x14ac:dyDescent="0.3">
      <c r="A215" s="2" t="s">
        <v>33</v>
      </c>
      <c r="B215" s="3" t="str">
        <f>"peso-naoob"&amp;L215</f>
        <v>peso-naoob9</v>
      </c>
      <c r="C215" s="4" t="str">
        <f>"Quantos kilos de ${"&amp;B209&amp;"}?"</f>
        <v>Quantos kilos de ${nome-local9}?</v>
      </c>
      <c r="D215" s="4" t="str">
        <f>"selected(${"&amp;B208&amp;"},'nao-obrigatorio')"</f>
        <v>selected(${p-obr9},'nao-obrigatorio')</v>
      </c>
      <c r="E215"/>
      <c r="L215" s="13">
        <f t="shared" si="8"/>
        <v>9</v>
      </c>
    </row>
    <row r="216" spans="1:12" x14ac:dyDescent="0.3">
      <c r="A216" s="2" t="s">
        <v>136</v>
      </c>
      <c r="B216" s="3" t="str">
        <f>"uso"&amp;L216</f>
        <v>uso9</v>
      </c>
      <c r="C216" s="4" t="str">
        <f>"O ${"&amp;B209&amp;"} é para consumo, venda, salga ou São Pedro?"</f>
        <v>O ${nome-local9} é para consumo, venda, salga ou São Pedro?</v>
      </c>
      <c r="I216" s="4" t="s">
        <v>14</v>
      </c>
      <c r="L216" s="13">
        <f t="shared" si="8"/>
        <v>9</v>
      </c>
    </row>
    <row r="217" spans="1:12" x14ac:dyDescent="0.3">
      <c r="A217" s="35" t="s">
        <v>21</v>
      </c>
      <c r="B217" s="36"/>
      <c r="C217" s="37"/>
      <c r="D217" s="38"/>
      <c r="E217" s="38"/>
      <c r="F217" s="39"/>
      <c r="G217" s="38"/>
      <c r="H217" s="38"/>
      <c r="I217" s="38"/>
      <c r="J217" s="38"/>
      <c r="K217" s="38"/>
      <c r="L217" s="13">
        <f t="shared" si="8"/>
        <v>9</v>
      </c>
    </row>
    <row r="218" spans="1:12" x14ac:dyDescent="0.3">
      <c r="A218" s="35" t="s">
        <v>11</v>
      </c>
      <c r="B218" s="36" t="str">
        <f>"capB"&amp;L218</f>
        <v>capB9</v>
      </c>
      <c r="C218" s="37" t="str">
        <f>"PREÇO DE ${nome-local"&amp;L218&amp;"}"</f>
        <v>PREÇO DE ${nome-local9}</v>
      </c>
      <c r="D218" s="38" t="str">
        <f>"selected(${"&amp;B216&amp;"},'venda')"</f>
        <v>selected(${uso9},'venda')</v>
      </c>
      <c r="E218" s="38" t="s">
        <v>25</v>
      </c>
      <c r="F218" s="39"/>
      <c r="G218" s="38"/>
      <c r="H218" s="38"/>
      <c r="I218" s="38"/>
      <c r="J218" s="38"/>
      <c r="K218" s="38"/>
      <c r="L218" s="13">
        <f t="shared" si="8"/>
        <v>9</v>
      </c>
    </row>
    <row r="219" spans="1:12" x14ac:dyDescent="0.3">
      <c r="A219" s="2" t="s">
        <v>32</v>
      </c>
      <c r="B219" s="3" t="str">
        <f>"apagar-cB"&amp;L219</f>
        <v>apagar-cB9</v>
      </c>
      <c r="C219" s="4" t="str">
        <f>"PREÇO DE ${"&amp;B209&amp;"}"</f>
        <v>PREÇO DE ${nome-local9}</v>
      </c>
      <c r="E219" s="8" t="s">
        <v>132</v>
      </c>
      <c r="F219" s="8" t="str">
        <f>"name =${"&amp;B204&amp;"} or name='espaco'"</f>
        <v>name =${spilha9} or name='espaco'</v>
      </c>
      <c r="L219" s="13">
        <f t="shared" si="8"/>
        <v>9</v>
      </c>
    </row>
    <row r="220" spans="1:12" x14ac:dyDescent="0.3">
      <c r="A220" s="2" t="s">
        <v>4</v>
      </c>
      <c r="B220" s="3" t="str">
        <f>"preco"&amp;L220</f>
        <v>preco9</v>
      </c>
      <c r="C220" s="4" t="str">
        <f>"Preço de ${"&amp;B209&amp;"}? (em DOBRAS)"</f>
        <v>Preço de ${nome-local9}? (em DOBRAS)</v>
      </c>
      <c r="I220" s="4" t="s">
        <v>14</v>
      </c>
      <c r="L220" s="13">
        <f t="shared" si="8"/>
        <v>9</v>
      </c>
    </row>
    <row r="221" spans="1:12" x14ac:dyDescent="0.3">
      <c r="A221" s="2" t="s">
        <v>39</v>
      </c>
      <c r="B221" s="3" t="str">
        <f>"unidade-preco"&amp;L221</f>
        <v>unidade-preco9</v>
      </c>
      <c r="C221" s="4" t="s">
        <v>60</v>
      </c>
      <c r="I221" s="4" t="s">
        <v>14</v>
      </c>
      <c r="L221" s="13">
        <f t="shared" si="8"/>
        <v>9</v>
      </c>
    </row>
    <row r="222" spans="1:12" ht="15" customHeight="1" x14ac:dyDescent="0.3">
      <c r="A222" s="35" t="s">
        <v>21</v>
      </c>
      <c r="B222" s="36"/>
      <c r="C222" s="37"/>
      <c r="D222" s="38"/>
      <c r="E222" s="38"/>
      <c r="F222" s="39"/>
      <c r="G222" s="38"/>
      <c r="H222" s="38"/>
      <c r="I222" s="38"/>
      <c r="J222" s="38"/>
      <c r="K222" s="38"/>
      <c r="L222" s="13">
        <f t="shared" si="8"/>
        <v>9</v>
      </c>
    </row>
    <row r="223" spans="1:12" x14ac:dyDescent="0.3">
      <c r="A223" s="32" t="s">
        <v>21</v>
      </c>
      <c r="B223" s="33"/>
      <c r="C223" s="34"/>
      <c r="D223" s="34"/>
      <c r="E223" s="34"/>
      <c r="F223" s="34"/>
      <c r="G223" s="34"/>
      <c r="H223" s="34"/>
      <c r="I223" s="34"/>
      <c r="J223" s="34"/>
      <c r="K223" s="34"/>
      <c r="L223" s="13">
        <f t="shared" si="8"/>
        <v>9</v>
      </c>
    </row>
    <row r="224" spans="1:12" s="13" customFormat="1" x14ac:dyDescent="0.3">
      <c r="A224" s="9" t="s">
        <v>26</v>
      </c>
      <c r="B224" s="3" t="str">
        <f>"apanhou-peixe"&amp;L224</f>
        <v>apanhou-peixe9</v>
      </c>
      <c r="C224" s="8" t="s">
        <v>1269</v>
      </c>
      <c r="D224" s="4" t="str">
        <f>"selected(${apanhou-peixe"&amp;IF(L224=1,"",L224-1)&amp;"},'sim')"</f>
        <v>selected(${apanhou-peixe8},'sim')</v>
      </c>
      <c r="E224" s="8"/>
      <c r="F224" s="8"/>
      <c r="G224" s="8"/>
      <c r="H224" s="8"/>
      <c r="I224" s="8" t="s">
        <v>14</v>
      </c>
      <c r="J224" s="8"/>
      <c r="K224" s="8"/>
      <c r="L224" s="13">
        <f t="shared" si="8"/>
        <v>9</v>
      </c>
    </row>
    <row r="225" spans="1:12" x14ac:dyDescent="0.3">
      <c r="A225" s="32" t="s">
        <v>11</v>
      </c>
      <c r="B225" s="33" t="str">
        <f>"CAPTURAS"&amp;L226</f>
        <v>CAPTURAS10</v>
      </c>
      <c r="C225" s="34" t="str">
        <f>"${nome-local"&amp;L225&amp;"}"</f>
        <v>${nome-local10}</v>
      </c>
      <c r="D225" s="34" t="str">
        <f>"selected(${apanhou-peixe"&amp;IF(L225=1,"",L225-1)&amp;"},'sim')"</f>
        <v>selected(${apanhou-peixe9},'sim')</v>
      </c>
      <c r="E225" s="34"/>
      <c r="F225" s="34"/>
      <c r="G225" s="34"/>
      <c r="H225" s="34"/>
      <c r="I225" s="34"/>
      <c r="J225" s="34"/>
      <c r="K225" s="34"/>
      <c r="L225" s="13">
        <f>IF(C224="Apanhou mais algum peixe?", L224+1,L224)</f>
        <v>10</v>
      </c>
    </row>
    <row r="226" spans="1:12" x14ac:dyDescent="0.3">
      <c r="A226" s="9" t="s">
        <v>32</v>
      </c>
      <c r="B226" s="3" t="str">
        <f>"spilha"&amp;L226</f>
        <v>spilha10</v>
      </c>
      <c r="C226" s="8" t="s">
        <v>83</v>
      </c>
      <c r="D226" s="8"/>
      <c r="E226" s="8" t="s">
        <v>1000</v>
      </c>
      <c r="F226" s="8" t="s">
        <v>1260</v>
      </c>
      <c r="G226" s="8"/>
      <c r="H226" s="8"/>
      <c r="I226" s="8" t="s">
        <v>14</v>
      </c>
      <c r="L226" s="13">
        <f t="shared" ref="L226:L246" si="9">IF(C225="Apanhou mais algum peixe?", L225+1,L225)</f>
        <v>10</v>
      </c>
    </row>
    <row r="227" spans="1:12" ht="15.6" x14ac:dyDescent="0.3">
      <c r="A227" s="2" t="s">
        <v>3</v>
      </c>
      <c r="B227" s="3" t="str">
        <f>"outro"&amp;L227</f>
        <v>outro10</v>
      </c>
      <c r="C227" s="8" t="s">
        <v>1046</v>
      </c>
      <c r="D227" s="8" t="str">
        <f>"selected(${"&amp;B226&amp;"},'OUTRO-PEIXEprincipe') or selected(${"&amp;B226&amp;"},'OUTRO-PEIXEsaotome')"</f>
        <v>selected(${spilha10},'OUTRO-PEIXEprincipe') or selected(${spilha10},'OUTRO-PEIXEsaotome')</v>
      </c>
      <c r="E227" s="16"/>
      <c r="L227" s="13">
        <f t="shared" si="9"/>
        <v>10</v>
      </c>
    </row>
    <row r="228" spans="1:12" ht="15.6" x14ac:dyDescent="0.3">
      <c r="A228" s="2" t="s">
        <v>84</v>
      </c>
      <c r="B228" s="3" t="str">
        <f>"fotografia"&amp;L228</f>
        <v>fotografia10</v>
      </c>
      <c r="C228" s="8" t="s">
        <v>1417</v>
      </c>
      <c r="D228" s="8" t="str">
        <f>"selected(${"&amp;B226&amp;"},'OUTRO-PEIXEprincipe') or selected(${"&amp;B226&amp;"},'OUTRO-PEIXEsaotome')"</f>
        <v>selected(${spilha10},'OUTRO-PEIXEprincipe') or selected(${spilha10},'OUTRO-PEIXEsaotome')</v>
      </c>
      <c r="E228" s="16"/>
      <c r="L228" s="13">
        <f t="shared" si="9"/>
        <v>10</v>
      </c>
    </row>
    <row r="229" spans="1:12" ht="15.6" x14ac:dyDescent="0.3">
      <c r="A229" s="2" t="s">
        <v>195</v>
      </c>
      <c r="B229" s="3" t="str">
        <f>"n-obr"&amp;L229</f>
        <v>n-obr10</v>
      </c>
      <c r="C229" s="8"/>
      <c r="D229" s="8"/>
      <c r="E229" s="16"/>
      <c r="J229" s="31" t="str">
        <f>"instance('especies')/root/item[name    =    ${"&amp;B226&amp;"} ]/numero"</f>
        <v>instance('especies')/root/item[name    =    ${spilha10} ]/numero</v>
      </c>
      <c r="K229" s="31"/>
      <c r="L229" s="13">
        <f t="shared" si="9"/>
        <v>10</v>
      </c>
    </row>
    <row r="230" spans="1:12" ht="15.6" x14ac:dyDescent="0.3">
      <c r="A230" s="2" t="s">
        <v>195</v>
      </c>
      <c r="B230" s="3" t="str">
        <f>"p-obr"&amp;L230</f>
        <v>p-obr10</v>
      </c>
      <c r="C230" s="8"/>
      <c r="D230" s="8"/>
      <c r="E230" s="16"/>
      <c r="J230" s="31" t="str">
        <f>"instance('especies')/root/item[name    =    ${"&amp;B226&amp;"} ]/peso"</f>
        <v>instance('especies')/root/item[name    =    ${spilha10} ]/peso</v>
      </c>
      <c r="K230" s="31"/>
      <c r="L230" s="13">
        <f t="shared" si="9"/>
        <v>10</v>
      </c>
    </row>
    <row r="231" spans="1:12" ht="15.6" x14ac:dyDescent="0.3">
      <c r="A231" s="2" t="s">
        <v>195</v>
      </c>
      <c r="B231" s="3" t="str">
        <f>"nome-local"&amp;L231</f>
        <v>nome-local10</v>
      </c>
      <c r="E231" s="16"/>
      <c r="J231" s="4" t="str">
        <f>"if(${"&amp;B226&amp;"} = 'OUTRO-PEIXEprincipe' or ${"&amp;B226&amp;"} = 'OUTRO-PEIXEsaotome' ,       ${"&amp;B227&amp;"},        instance('especies')/root/item[name    =    ${"&amp;B226&amp;"} ]/nomelocal)"</f>
        <v>if(${spilha10} = 'OUTRO-PEIXEprincipe' or ${spilha10} = 'OUTRO-PEIXEsaotome' ,       ${outro10},        instance('especies')/root/item[name    =    ${spilha10} ]/nomelocal)</v>
      </c>
      <c r="L231" s="13">
        <f t="shared" si="9"/>
        <v>10</v>
      </c>
    </row>
    <row r="232" spans="1:12" x14ac:dyDescent="0.3">
      <c r="A232" s="35" t="s">
        <v>11</v>
      </c>
      <c r="B232" s="36" t="str">
        <f>"capA"&amp;L232</f>
        <v>capA10</v>
      </c>
      <c r="C232" s="37" t="str">
        <f>"PESO DE ${nome-local"&amp;L232&amp;"}"</f>
        <v>PESO DE ${nome-local10}</v>
      </c>
      <c r="D232" s="38" t="str">
        <f>"not(selected(${spilha"&amp;L232&amp;"},''))"</f>
        <v>not(selected(${spilha10},''))</v>
      </c>
      <c r="E232" s="38" t="s">
        <v>25</v>
      </c>
      <c r="F232" s="39"/>
      <c r="G232" s="38"/>
      <c r="H232" s="38"/>
      <c r="I232" s="38"/>
      <c r="J232" s="38"/>
      <c r="K232" s="38"/>
      <c r="L232" s="13">
        <f t="shared" si="9"/>
        <v>10</v>
      </c>
    </row>
    <row r="233" spans="1:12" x14ac:dyDescent="0.3">
      <c r="A233" s="2" t="s">
        <v>32</v>
      </c>
      <c r="B233" s="3" t="str">
        <f>"apagar-cA"&amp;L233</f>
        <v>apagar-cA10</v>
      </c>
      <c r="C233" s="4" t="str">
        <f>"${"&amp;B231&amp;"}"</f>
        <v>${nome-local10}</v>
      </c>
      <c r="E233" s="8" t="s">
        <v>132</v>
      </c>
      <c r="F233" s="8" t="str">
        <f>"name =${"&amp;B226&amp;"} or name='espaco'"</f>
        <v>name =${spilha10} or name='espaco'</v>
      </c>
      <c r="L233" s="13">
        <f t="shared" si="9"/>
        <v>10</v>
      </c>
    </row>
    <row r="234" spans="1:12" x14ac:dyDescent="0.3">
      <c r="A234" s="2" t="s">
        <v>4</v>
      </c>
      <c r="B234" s="3" t="str">
        <f>"numero-ob"&amp;L234</f>
        <v>numero-ob10</v>
      </c>
      <c r="C234" s="4" t="str">
        <f>"Numero de peixes de ${"&amp;B231&amp;"}?"</f>
        <v>Numero de peixes de ${nome-local10}?</v>
      </c>
      <c r="D234" s="4" t="str">
        <f>"selected(${"&amp;B229&amp;"},'obrigatorio')"</f>
        <v>selected(${n-obr10},'obrigatorio')</v>
      </c>
      <c r="I234" s="4" t="s">
        <v>14</v>
      </c>
      <c r="J234" s="26"/>
      <c r="K234" s="26"/>
      <c r="L234" s="13">
        <f t="shared" si="9"/>
        <v>10</v>
      </c>
    </row>
    <row r="235" spans="1:12" x14ac:dyDescent="0.3">
      <c r="A235" s="2" t="s">
        <v>4</v>
      </c>
      <c r="B235" s="3" t="str">
        <f>"numero-naoob"&amp;L235</f>
        <v>numero-naoob10</v>
      </c>
      <c r="C235" s="4" t="str">
        <f>"Numero de peixes de ${"&amp;B231&amp;"}?"</f>
        <v>Numero de peixes de ${nome-local10}?</v>
      </c>
      <c r="D235" s="4" t="str">
        <f>"selected(${"&amp;B229&amp;"},'nao-obrigatorio')"</f>
        <v>selected(${n-obr10},'nao-obrigatorio')</v>
      </c>
      <c r="J235" s="26"/>
      <c r="K235" s="26"/>
      <c r="L235" s="13">
        <f t="shared" si="9"/>
        <v>10</v>
      </c>
    </row>
    <row r="236" spans="1:12" x14ac:dyDescent="0.3">
      <c r="A236" s="2" t="s">
        <v>33</v>
      </c>
      <c r="B236" s="3" t="str">
        <f>"peso-ob"&amp;L236</f>
        <v>peso-ob10</v>
      </c>
      <c r="C236" s="4" t="str">
        <f>"Quantos kilos de ${"&amp;B231&amp;"}?"</f>
        <v>Quantos kilos de ${nome-local10}?</v>
      </c>
      <c r="D236" s="4" t="str">
        <f>"selected(${"&amp;B230&amp;"},'obrigatorio')"</f>
        <v>selected(${p-obr10},'obrigatorio')</v>
      </c>
      <c r="I236" s="4" t="s">
        <v>14</v>
      </c>
      <c r="L236" s="13">
        <f t="shared" si="9"/>
        <v>10</v>
      </c>
    </row>
    <row r="237" spans="1:12" x14ac:dyDescent="0.3">
      <c r="A237" s="2" t="s">
        <v>33</v>
      </c>
      <c r="B237" s="3" t="str">
        <f>"peso-naoob"&amp;L237</f>
        <v>peso-naoob10</v>
      </c>
      <c r="C237" s="4" t="str">
        <f>"Quantos kilos de ${"&amp;B231&amp;"}?"</f>
        <v>Quantos kilos de ${nome-local10}?</v>
      </c>
      <c r="D237" s="4" t="str">
        <f>"selected(${"&amp;B230&amp;"},'nao-obrigatorio')"</f>
        <v>selected(${p-obr10},'nao-obrigatorio')</v>
      </c>
      <c r="E237"/>
      <c r="L237" s="13">
        <f t="shared" si="9"/>
        <v>10</v>
      </c>
    </row>
    <row r="238" spans="1:12" x14ac:dyDescent="0.3">
      <c r="A238" s="2" t="s">
        <v>136</v>
      </c>
      <c r="B238" s="3" t="str">
        <f>"uso"&amp;L238</f>
        <v>uso10</v>
      </c>
      <c r="C238" s="4" t="str">
        <f>"O ${"&amp;B231&amp;"} é para consumo, venda, salga ou São Pedro?"</f>
        <v>O ${nome-local10} é para consumo, venda, salga ou São Pedro?</v>
      </c>
      <c r="I238" s="4" t="s">
        <v>14</v>
      </c>
      <c r="L238" s="13">
        <f t="shared" si="9"/>
        <v>10</v>
      </c>
    </row>
    <row r="239" spans="1:12" x14ac:dyDescent="0.3">
      <c r="A239" s="35" t="s">
        <v>21</v>
      </c>
      <c r="B239" s="36"/>
      <c r="C239" s="37"/>
      <c r="D239" s="38"/>
      <c r="E239" s="38"/>
      <c r="F239" s="39"/>
      <c r="G239" s="38"/>
      <c r="H239" s="38"/>
      <c r="I239" s="38"/>
      <c r="J239" s="38"/>
      <c r="K239" s="38"/>
      <c r="L239" s="13">
        <f t="shared" si="9"/>
        <v>10</v>
      </c>
    </row>
    <row r="240" spans="1:12" x14ac:dyDescent="0.3">
      <c r="A240" s="35" t="s">
        <v>11</v>
      </c>
      <c r="B240" s="36" t="str">
        <f>"capB"&amp;L240</f>
        <v>capB10</v>
      </c>
      <c r="C240" s="37" t="str">
        <f>"PREÇO DE ${nome-local"&amp;L240&amp;"}"</f>
        <v>PREÇO DE ${nome-local10}</v>
      </c>
      <c r="D240" s="38" t="str">
        <f>"selected(${"&amp;B238&amp;"},'venda')"</f>
        <v>selected(${uso10},'venda')</v>
      </c>
      <c r="E240" s="38" t="s">
        <v>25</v>
      </c>
      <c r="F240" s="39"/>
      <c r="G240" s="38"/>
      <c r="H240" s="38"/>
      <c r="I240" s="38"/>
      <c r="J240" s="38"/>
      <c r="K240" s="38"/>
      <c r="L240" s="13">
        <f t="shared" si="9"/>
        <v>10</v>
      </c>
    </row>
    <row r="241" spans="1:12" x14ac:dyDescent="0.3">
      <c r="A241" s="2" t="s">
        <v>32</v>
      </c>
      <c r="B241" s="3" t="str">
        <f>"apagar-cB"&amp;L241</f>
        <v>apagar-cB10</v>
      </c>
      <c r="C241" s="4" t="str">
        <f>"PREÇO DE ${"&amp;B231&amp;"}"</f>
        <v>PREÇO DE ${nome-local10}</v>
      </c>
      <c r="E241" s="8" t="s">
        <v>132</v>
      </c>
      <c r="F241" s="8" t="str">
        <f>"name =${"&amp;B226&amp;"} or name='espaco'"</f>
        <v>name =${spilha10} or name='espaco'</v>
      </c>
      <c r="L241" s="13">
        <f t="shared" si="9"/>
        <v>10</v>
      </c>
    </row>
    <row r="242" spans="1:12" x14ac:dyDescent="0.3">
      <c r="A242" s="2" t="s">
        <v>4</v>
      </c>
      <c r="B242" s="3" t="str">
        <f>"preco"&amp;L242</f>
        <v>preco10</v>
      </c>
      <c r="C242" s="4" t="str">
        <f>"Preço de ${"&amp;B231&amp;"}? (em DOBRAS)"</f>
        <v>Preço de ${nome-local10}? (em DOBRAS)</v>
      </c>
      <c r="I242" s="4" t="s">
        <v>14</v>
      </c>
      <c r="L242" s="13">
        <f t="shared" si="9"/>
        <v>10</v>
      </c>
    </row>
    <row r="243" spans="1:12" x14ac:dyDescent="0.3">
      <c r="A243" s="2" t="s">
        <v>39</v>
      </c>
      <c r="B243" s="3" t="str">
        <f>"unidade-preco"&amp;L243</f>
        <v>unidade-preco10</v>
      </c>
      <c r="C243" s="4" t="s">
        <v>60</v>
      </c>
      <c r="I243" s="4" t="s">
        <v>14</v>
      </c>
      <c r="L243" s="13">
        <f t="shared" si="9"/>
        <v>10</v>
      </c>
    </row>
    <row r="244" spans="1:12" ht="15" customHeight="1" x14ac:dyDescent="0.3">
      <c r="A244" s="35" t="s">
        <v>21</v>
      </c>
      <c r="B244" s="36"/>
      <c r="C244" s="37"/>
      <c r="D244" s="38"/>
      <c r="E244" s="38"/>
      <c r="F244" s="39"/>
      <c r="G244" s="38"/>
      <c r="H244" s="38"/>
      <c r="I244" s="38"/>
      <c r="J244" s="38"/>
      <c r="K244" s="38"/>
      <c r="L244" s="13">
        <f t="shared" si="9"/>
        <v>10</v>
      </c>
    </row>
    <row r="245" spans="1:12" x14ac:dyDescent="0.3">
      <c r="A245" s="32" t="s">
        <v>21</v>
      </c>
      <c r="B245" s="33"/>
      <c r="C245" s="34"/>
      <c r="D245" s="34"/>
      <c r="E245" s="34"/>
      <c r="F245" s="34"/>
      <c r="G245" s="34"/>
      <c r="H245" s="34"/>
      <c r="I245" s="34"/>
      <c r="J245" s="34"/>
      <c r="K245" s="34"/>
      <c r="L245" s="13">
        <f t="shared" si="9"/>
        <v>10</v>
      </c>
    </row>
    <row r="246" spans="1:12" s="13" customFormat="1" x14ac:dyDescent="0.3">
      <c r="A246" s="9" t="s">
        <v>26</v>
      </c>
      <c r="B246" s="3" t="str">
        <f>"apanhou-peixe"&amp;L246</f>
        <v>apanhou-peixe10</v>
      </c>
      <c r="C246" s="8" t="s">
        <v>1269</v>
      </c>
      <c r="D246" s="4" t="str">
        <f>"selected(${apanhou-peixe"&amp;IF(L246=1,"",L246-1)&amp;"},'sim')"</f>
        <v>selected(${apanhou-peixe9},'sim')</v>
      </c>
      <c r="E246" s="8"/>
      <c r="F246" s="8"/>
      <c r="G246" s="8"/>
      <c r="H246" s="8"/>
      <c r="I246" s="8" t="s">
        <v>14</v>
      </c>
      <c r="J246" s="8"/>
      <c r="K246" s="8"/>
      <c r="L246" s="13">
        <f t="shared" si="9"/>
        <v>10</v>
      </c>
    </row>
    <row r="247" spans="1:12" x14ac:dyDescent="0.3">
      <c r="A247" s="32" t="s">
        <v>11</v>
      </c>
      <c r="B247" s="33" t="str">
        <f>"CAPTURAS"&amp;L248</f>
        <v>CAPTURAS11</v>
      </c>
      <c r="C247" s="34" t="str">
        <f>"${nome-local"&amp;L247&amp;"}"</f>
        <v>${nome-local11}</v>
      </c>
      <c r="D247" s="34" t="str">
        <f>"selected(${apanhou-peixe"&amp;IF(L247=1,"",L247-1)&amp;"},'sim')"</f>
        <v>selected(${apanhou-peixe10},'sim')</v>
      </c>
      <c r="E247" s="34"/>
      <c r="F247" s="34"/>
      <c r="G247" s="34"/>
      <c r="H247" s="34"/>
      <c r="I247" s="34"/>
      <c r="J247" s="34"/>
      <c r="K247" s="34"/>
      <c r="L247" s="13">
        <f>IF(C246="Apanhou mais algum peixe?", L246+1,L246)</f>
        <v>11</v>
      </c>
    </row>
    <row r="248" spans="1:12" x14ac:dyDescent="0.3">
      <c r="A248" s="9" t="s">
        <v>32</v>
      </c>
      <c r="B248" s="3" t="str">
        <f>"spilha"&amp;L248</f>
        <v>spilha11</v>
      </c>
      <c r="C248" s="8" t="s">
        <v>83</v>
      </c>
      <c r="D248" s="8"/>
      <c r="E248" s="8" t="s">
        <v>1000</v>
      </c>
      <c r="F248" s="8" t="s">
        <v>1260</v>
      </c>
      <c r="G248" s="8"/>
      <c r="H248" s="8"/>
      <c r="I248" s="8" t="s">
        <v>14</v>
      </c>
      <c r="L248" s="13">
        <f t="shared" ref="L248:L268" si="10">IF(C247="Apanhou mais algum peixe?", L247+1,L247)</f>
        <v>11</v>
      </c>
    </row>
    <row r="249" spans="1:12" ht="15.6" x14ac:dyDescent="0.3">
      <c r="A249" s="2" t="s">
        <v>3</v>
      </c>
      <c r="B249" s="3" t="str">
        <f>"outro"&amp;L249</f>
        <v>outro11</v>
      </c>
      <c r="C249" s="8" t="s">
        <v>1046</v>
      </c>
      <c r="D249" s="8" t="str">
        <f>"selected(${"&amp;B248&amp;"},'OUTRO-PEIXEprincipe') or selected(${"&amp;B248&amp;"},'OUTRO-PEIXEsaotome')"</f>
        <v>selected(${spilha11},'OUTRO-PEIXEprincipe') or selected(${spilha11},'OUTRO-PEIXEsaotome')</v>
      </c>
      <c r="E249" s="16"/>
      <c r="L249" s="13">
        <f t="shared" si="10"/>
        <v>11</v>
      </c>
    </row>
    <row r="250" spans="1:12" ht="15.6" x14ac:dyDescent="0.3">
      <c r="A250" s="2" t="s">
        <v>84</v>
      </c>
      <c r="B250" s="3" t="str">
        <f>"fotografia"&amp;L250</f>
        <v>fotografia11</v>
      </c>
      <c r="C250" s="8" t="s">
        <v>1417</v>
      </c>
      <c r="D250" s="8" t="str">
        <f>"selected(${"&amp;B248&amp;"},'OUTRO-PEIXEprincipe') or selected(${"&amp;B248&amp;"},'OUTRO-PEIXEsaotome')"</f>
        <v>selected(${spilha11},'OUTRO-PEIXEprincipe') or selected(${spilha11},'OUTRO-PEIXEsaotome')</v>
      </c>
      <c r="E250" s="16"/>
      <c r="L250" s="13">
        <f t="shared" si="10"/>
        <v>11</v>
      </c>
    </row>
    <row r="251" spans="1:12" ht="15.6" x14ac:dyDescent="0.3">
      <c r="A251" s="2" t="s">
        <v>195</v>
      </c>
      <c r="B251" s="3" t="str">
        <f>"n-obr"&amp;L251</f>
        <v>n-obr11</v>
      </c>
      <c r="C251" s="8"/>
      <c r="D251" s="8"/>
      <c r="E251" s="16"/>
      <c r="J251" s="31" t="str">
        <f>"instance('especies')/root/item[name    =    ${"&amp;B248&amp;"} ]/numero"</f>
        <v>instance('especies')/root/item[name    =    ${spilha11} ]/numero</v>
      </c>
      <c r="K251" s="31"/>
      <c r="L251" s="13">
        <f t="shared" si="10"/>
        <v>11</v>
      </c>
    </row>
    <row r="252" spans="1:12" ht="15.6" x14ac:dyDescent="0.3">
      <c r="A252" s="2" t="s">
        <v>195</v>
      </c>
      <c r="B252" s="3" t="str">
        <f>"p-obr"&amp;L252</f>
        <v>p-obr11</v>
      </c>
      <c r="C252" s="8"/>
      <c r="D252" s="8"/>
      <c r="E252" s="16"/>
      <c r="J252" s="31" t="str">
        <f>"instance('especies')/root/item[name    =    ${"&amp;B248&amp;"} ]/peso"</f>
        <v>instance('especies')/root/item[name    =    ${spilha11} ]/peso</v>
      </c>
      <c r="K252" s="31"/>
      <c r="L252" s="13">
        <f t="shared" si="10"/>
        <v>11</v>
      </c>
    </row>
    <row r="253" spans="1:12" ht="15.6" x14ac:dyDescent="0.3">
      <c r="A253" s="2" t="s">
        <v>195</v>
      </c>
      <c r="B253" s="3" t="str">
        <f>"nome-local"&amp;L253</f>
        <v>nome-local11</v>
      </c>
      <c r="E253" s="16"/>
      <c r="J253" s="4" t="str">
        <f>"if(${"&amp;B248&amp;"} = 'OUTRO-PEIXEprincipe' or ${"&amp;B248&amp;"} = 'OUTRO-PEIXEsaotome' ,       ${"&amp;B249&amp;"},        instance('especies')/root/item[name    =    ${"&amp;B248&amp;"} ]/nomelocal)"</f>
        <v>if(${spilha11} = 'OUTRO-PEIXEprincipe' or ${spilha11} = 'OUTRO-PEIXEsaotome' ,       ${outro11},        instance('especies')/root/item[name    =    ${spilha11} ]/nomelocal)</v>
      </c>
      <c r="L253" s="13">
        <f t="shared" si="10"/>
        <v>11</v>
      </c>
    </row>
    <row r="254" spans="1:12" x14ac:dyDescent="0.3">
      <c r="A254" s="35" t="s">
        <v>11</v>
      </c>
      <c r="B254" s="36" t="str">
        <f>"capA"&amp;L254</f>
        <v>capA11</v>
      </c>
      <c r="C254" s="37" t="str">
        <f>"PESO DE ${nome-local"&amp;L254&amp;"}"</f>
        <v>PESO DE ${nome-local11}</v>
      </c>
      <c r="D254" s="38" t="str">
        <f>"not(selected(${spilha"&amp;L254&amp;"},''))"</f>
        <v>not(selected(${spilha11},''))</v>
      </c>
      <c r="E254" s="38" t="s">
        <v>25</v>
      </c>
      <c r="F254" s="39"/>
      <c r="G254" s="38"/>
      <c r="H254" s="38"/>
      <c r="I254" s="38"/>
      <c r="J254" s="38"/>
      <c r="K254" s="38"/>
      <c r="L254" s="13">
        <f t="shared" si="10"/>
        <v>11</v>
      </c>
    </row>
    <row r="255" spans="1:12" x14ac:dyDescent="0.3">
      <c r="A255" s="2" t="s">
        <v>32</v>
      </c>
      <c r="B255" s="3" t="str">
        <f>"apagar-cA"&amp;L255</f>
        <v>apagar-cA11</v>
      </c>
      <c r="C255" s="4" t="str">
        <f>"${"&amp;B253&amp;"}"</f>
        <v>${nome-local11}</v>
      </c>
      <c r="E255" s="8" t="s">
        <v>132</v>
      </c>
      <c r="F255" s="8" t="str">
        <f>"name =${"&amp;B248&amp;"} or name='espaco'"</f>
        <v>name =${spilha11} or name='espaco'</v>
      </c>
      <c r="L255" s="13">
        <f t="shared" si="10"/>
        <v>11</v>
      </c>
    </row>
    <row r="256" spans="1:12" x14ac:dyDescent="0.3">
      <c r="A256" s="2" t="s">
        <v>4</v>
      </c>
      <c r="B256" s="3" t="str">
        <f>"numero-ob"&amp;L256</f>
        <v>numero-ob11</v>
      </c>
      <c r="C256" s="4" t="str">
        <f>"Numero de peixes de ${"&amp;B253&amp;"}?"</f>
        <v>Numero de peixes de ${nome-local11}?</v>
      </c>
      <c r="D256" s="4" t="str">
        <f>"selected(${"&amp;B251&amp;"},'obrigatorio')"</f>
        <v>selected(${n-obr11},'obrigatorio')</v>
      </c>
      <c r="I256" s="4" t="s">
        <v>14</v>
      </c>
      <c r="J256" s="26"/>
      <c r="K256" s="26"/>
      <c r="L256" s="13">
        <f t="shared" si="10"/>
        <v>11</v>
      </c>
    </row>
    <row r="257" spans="1:12" x14ac:dyDescent="0.3">
      <c r="A257" s="2" t="s">
        <v>4</v>
      </c>
      <c r="B257" s="3" t="str">
        <f>"numero-naoob"&amp;L257</f>
        <v>numero-naoob11</v>
      </c>
      <c r="C257" s="4" t="str">
        <f>"Numero de peixes de ${"&amp;B253&amp;"}?"</f>
        <v>Numero de peixes de ${nome-local11}?</v>
      </c>
      <c r="D257" s="4" t="str">
        <f>"selected(${"&amp;B251&amp;"},'nao-obrigatorio')"</f>
        <v>selected(${n-obr11},'nao-obrigatorio')</v>
      </c>
      <c r="J257" s="26"/>
      <c r="K257" s="26"/>
      <c r="L257" s="13">
        <f t="shared" si="10"/>
        <v>11</v>
      </c>
    </row>
    <row r="258" spans="1:12" x14ac:dyDescent="0.3">
      <c r="A258" s="2" t="s">
        <v>33</v>
      </c>
      <c r="B258" s="3" t="str">
        <f>"peso-ob"&amp;L258</f>
        <v>peso-ob11</v>
      </c>
      <c r="C258" s="4" t="str">
        <f>"Quantos kilos de ${"&amp;B253&amp;"}?"</f>
        <v>Quantos kilos de ${nome-local11}?</v>
      </c>
      <c r="D258" s="4" t="str">
        <f>"selected(${"&amp;B252&amp;"},'obrigatorio')"</f>
        <v>selected(${p-obr11},'obrigatorio')</v>
      </c>
      <c r="I258" s="4" t="s">
        <v>14</v>
      </c>
      <c r="L258" s="13">
        <f t="shared" si="10"/>
        <v>11</v>
      </c>
    </row>
    <row r="259" spans="1:12" x14ac:dyDescent="0.3">
      <c r="A259" s="2" t="s">
        <v>33</v>
      </c>
      <c r="B259" s="3" t="str">
        <f>"peso-naoob"&amp;L259</f>
        <v>peso-naoob11</v>
      </c>
      <c r="C259" s="4" t="str">
        <f>"Quantos kilos de ${"&amp;B253&amp;"}?"</f>
        <v>Quantos kilos de ${nome-local11}?</v>
      </c>
      <c r="D259" s="4" t="str">
        <f>"selected(${"&amp;B252&amp;"},'nao-obrigatorio')"</f>
        <v>selected(${p-obr11},'nao-obrigatorio')</v>
      </c>
      <c r="E259"/>
      <c r="L259" s="13">
        <f t="shared" si="10"/>
        <v>11</v>
      </c>
    </row>
    <row r="260" spans="1:12" x14ac:dyDescent="0.3">
      <c r="A260" s="2" t="s">
        <v>136</v>
      </c>
      <c r="B260" s="3" t="str">
        <f>"uso"&amp;L260</f>
        <v>uso11</v>
      </c>
      <c r="C260" s="4" t="str">
        <f>"O ${"&amp;B253&amp;"} é para consumo, venda, salga ou São Pedro?"</f>
        <v>O ${nome-local11} é para consumo, venda, salga ou São Pedro?</v>
      </c>
      <c r="I260" s="4" t="s">
        <v>14</v>
      </c>
      <c r="L260" s="13">
        <f t="shared" si="10"/>
        <v>11</v>
      </c>
    </row>
    <row r="261" spans="1:12" x14ac:dyDescent="0.3">
      <c r="A261" s="35" t="s">
        <v>21</v>
      </c>
      <c r="B261" s="36"/>
      <c r="C261" s="37"/>
      <c r="D261" s="38"/>
      <c r="E261" s="38"/>
      <c r="F261" s="39"/>
      <c r="G261" s="38"/>
      <c r="H261" s="38"/>
      <c r="I261" s="38"/>
      <c r="J261" s="38"/>
      <c r="K261" s="38"/>
      <c r="L261" s="13">
        <f t="shared" si="10"/>
        <v>11</v>
      </c>
    </row>
    <row r="262" spans="1:12" x14ac:dyDescent="0.3">
      <c r="A262" s="35" t="s">
        <v>11</v>
      </c>
      <c r="B262" s="36" t="str">
        <f>"capB"&amp;L262</f>
        <v>capB11</v>
      </c>
      <c r="C262" s="37" t="str">
        <f>"PREÇO DE ${nome-local"&amp;L262&amp;"}"</f>
        <v>PREÇO DE ${nome-local11}</v>
      </c>
      <c r="D262" s="38" t="str">
        <f>"selected(${"&amp;B260&amp;"},'venda')"</f>
        <v>selected(${uso11},'venda')</v>
      </c>
      <c r="E262" s="38" t="s">
        <v>25</v>
      </c>
      <c r="F262" s="39"/>
      <c r="G262" s="38"/>
      <c r="H262" s="38"/>
      <c r="I262" s="38"/>
      <c r="J262" s="38"/>
      <c r="K262" s="38"/>
      <c r="L262" s="13">
        <f t="shared" si="10"/>
        <v>11</v>
      </c>
    </row>
    <row r="263" spans="1:12" x14ac:dyDescent="0.3">
      <c r="A263" s="2" t="s">
        <v>32</v>
      </c>
      <c r="B263" s="3" t="str">
        <f>"apagar-cB"&amp;L263</f>
        <v>apagar-cB11</v>
      </c>
      <c r="C263" s="4" t="str">
        <f>"PREÇO DE ${"&amp;B253&amp;"}"</f>
        <v>PREÇO DE ${nome-local11}</v>
      </c>
      <c r="E263" s="8" t="s">
        <v>132</v>
      </c>
      <c r="F263" s="8" t="str">
        <f>"name =${"&amp;B248&amp;"} or name='espaco'"</f>
        <v>name =${spilha11} or name='espaco'</v>
      </c>
      <c r="L263" s="13">
        <f t="shared" si="10"/>
        <v>11</v>
      </c>
    </row>
    <row r="264" spans="1:12" x14ac:dyDescent="0.3">
      <c r="A264" s="2" t="s">
        <v>4</v>
      </c>
      <c r="B264" s="3" t="str">
        <f>"preco"&amp;L264</f>
        <v>preco11</v>
      </c>
      <c r="C264" s="4" t="str">
        <f>"Preço de ${"&amp;B253&amp;"}? (em DOBRAS)"</f>
        <v>Preço de ${nome-local11}? (em DOBRAS)</v>
      </c>
      <c r="I264" s="4" t="s">
        <v>14</v>
      </c>
      <c r="L264" s="13">
        <f t="shared" si="10"/>
        <v>11</v>
      </c>
    </row>
    <row r="265" spans="1:12" x14ac:dyDescent="0.3">
      <c r="A265" s="2" t="s">
        <v>39</v>
      </c>
      <c r="B265" s="3" t="str">
        <f>"unidade-preco"&amp;L265</f>
        <v>unidade-preco11</v>
      </c>
      <c r="C265" s="4" t="s">
        <v>60</v>
      </c>
      <c r="I265" s="4" t="s">
        <v>14</v>
      </c>
      <c r="L265" s="13">
        <f t="shared" si="10"/>
        <v>11</v>
      </c>
    </row>
    <row r="266" spans="1:12" ht="15" customHeight="1" x14ac:dyDescent="0.3">
      <c r="A266" s="35" t="s">
        <v>21</v>
      </c>
      <c r="B266" s="36"/>
      <c r="C266" s="37"/>
      <c r="D266" s="38"/>
      <c r="E266" s="38"/>
      <c r="F266" s="39"/>
      <c r="G266" s="38"/>
      <c r="H266" s="38"/>
      <c r="I266" s="38"/>
      <c r="J266" s="38"/>
      <c r="K266" s="38"/>
      <c r="L266" s="13">
        <f t="shared" si="10"/>
        <v>11</v>
      </c>
    </row>
    <row r="267" spans="1:12" x14ac:dyDescent="0.3">
      <c r="A267" s="32" t="s">
        <v>21</v>
      </c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13">
        <f t="shared" si="10"/>
        <v>11</v>
      </c>
    </row>
    <row r="268" spans="1:12" s="13" customFormat="1" x14ac:dyDescent="0.3">
      <c r="A268" s="9" t="s">
        <v>26</v>
      </c>
      <c r="B268" s="3" t="str">
        <f>"apanhou-peixe"&amp;L268</f>
        <v>apanhou-peixe11</v>
      </c>
      <c r="C268" s="8" t="s">
        <v>1269</v>
      </c>
      <c r="D268" s="4" t="str">
        <f>"selected(${apanhou-peixe"&amp;IF(L268=1,"",L268-1)&amp;"},'sim')"</f>
        <v>selected(${apanhou-peixe10},'sim')</v>
      </c>
      <c r="E268" s="8"/>
      <c r="F268" s="8"/>
      <c r="G268" s="8"/>
      <c r="H268" s="8"/>
      <c r="I268" s="8" t="s">
        <v>14</v>
      </c>
      <c r="J268" s="8"/>
      <c r="K268" s="8"/>
      <c r="L268" s="13">
        <f t="shared" si="10"/>
        <v>11</v>
      </c>
    </row>
    <row r="269" spans="1:12" x14ac:dyDescent="0.3">
      <c r="A269" s="32" t="s">
        <v>11</v>
      </c>
      <c r="B269" s="33" t="str">
        <f>"CAPTURAS"&amp;L270</f>
        <v>CAPTURAS12</v>
      </c>
      <c r="C269" s="34" t="str">
        <f>"${nome-local"&amp;L269&amp;"}"</f>
        <v>${nome-local12}</v>
      </c>
      <c r="D269" s="34" t="str">
        <f>"selected(${apanhou-peixe"&amp;IF(L269=1,"",L269-1)&amp;"},'sim')"</f>
        <v>selected(${apanhou-peixe11},'sim')</v>
      </c>
      <c r="E269" s="34"/>
      <c r="F269" s="34"/>
      <c r="G269" s="34"/>
      <c r="H269" s="34"/>
      <c r="I269" s="34"/>
      <c r="J269" s="34"/>
      <c r="K269" s="34"/>
      <c r="L269" s="13">
        <f>IF(C268="Apanhou mais algum peixe?", L268+1,L268)</f>
        <v>12</v>
      </c>
    </row>
    <row r="270" spans="1:12" x14ac:dyDescent="0.3">
      <c r="A270" s="9" t="s">
        <v>32</v>
      </c>
      <c r="B270" s="3" t="str">
        <f>"spilha"&amp;L270</f>
        <v>spilha12</v>
      </c>
      <c r="C270" s="8" t="s">
        <v>83</v>
      </c>
      <c r="D270" s="8"/>
      <c r="E270" s="8" t="s">
        <v>1000</v>
      </c>
      <c r="F270" s="8" t="s">
        <v>1260</v>
      </c>
      <c r="G270" s="8"/>
      <c r="H270" s="8"/>
      <c r="I270" s="8" t="s">
        <v>14</v>
      </c>
      <c r="L270" s="13">
        <f t="shared" ref="L270:L290" si="11">IF(C269="Apanhou mais algum peixe?", L269+1,L269)</f>
        <v>12</v>
      </c>
    </row>
    <row r="271" spans="1:12" ht="15.6" x14ac:dyDescent="0.3">
      <c r="A271" s="2" t="s">
        <v>3</v>
      </c>
      <c r="B271" s="3" t="str">
        <f>"outro"&amp;L271</f>
        <v>outro12</v>
      </c>
      <c r="C271" s="8" t="s">
        <v>1046</v>
      </c>
      <c r="D271" s="8" t="str">
        <f>"selected(${"&amp;B270&amp;"},'OUTRO-PEIXEprincipe') or selected(${"&amp;B270&amp;"},'OUTRO-PEIXEsaotome')"</f>
        <v>selected(${spilha12},'OUTRO-PEIXEprincipe') or selected(${spilha12},'OUTRO-PEIXEsaotome')</v>
      </c>
      <c r="E271" s="16"/>
      <c r="L271" s="13">
        <f t="shared" si="11"/>
        <v>12</v>
      </c>
    </row>
    <row r="272" spans="1:12" ht="15.6" x14ac:dyDescent="0.3">
      <c r="A272" s="2" t="s">
        <v>84</v>
      </c>
      <c r="B272" s="3" t="str">
        <f>"fotografia"&amp;L272</f>
        <v>fotografia12</v>
      </c>
      <c r="C272" s="8" t="s">
        <v>1417</v>
      </c>
      <c r="D272" s="8" t="str">
        <f>"selected(${"&amp;B270&amp;"},'OUTRO-PEIXEprincipe') or selected(${"&amp;B270&amp;"},'OUTRO-PEIXEsaotome')"</f>
        <v>selected(${spilha12},'OUTRO-PEIXEprincipe') or selected(${spilha12},'OUTRO-PEIXEsaotome')</v>
      </c>
      <c r="E272" s="16"/>
      <c r="L272" s="13">
        <f t="shared" si="11"/>
        <v>12</v>
      </c>
    </row>
    <row r="273" spans="1:12" ht="15.6" x14ac:dyDescent="0.3">
      <c r="A273" s="2" t="s">
        <v>195</v>
      </c>
      <c r="B273" s="3" t="str">
        <f>"n-obr"&amp;L273</f>
        <v>n-obr12</v>
      </c>
      <c r="C273" s="8"/>
      <c r="D273" s="8"/>
      <c r="E273" s="16"/>
      <c r="J273" s="31" t="str">
        <f>"instance('especies')/root/item[name    =    ${"&amp;B270&amp;"} ]/numero"</f>
        <v>instance('especies')/root/item[name    =    ${spilha12} ]/numero</v>
      </c>
      <c r="K273" s="31"/>
      <c r="L273" s="13">
        <f t="shared" si="11"/>
        <v>12</v>
      </c>
    </row>
    <row r="274" spans="1:12" ht="15.6" x14ac:dyDescent="0.3">
      <c r="A274" s="2" t="s">
        <v>195</v>
      </c>
      <c r="B274" s="3" t="str">
        <f>"p-obr"&amp;L274</f>
        <v>p-obr12</v>
      </c>
      <c r="C274" s="8"/>
      <c r="D274" s="8"/>
      <c r="E274" s="16"/>
      <c r="J274" s="31" t="str">
        <f>"instance('especies')/root/item[name    =    ${"&amp;B270&amp;"} ]/peso"</f>
        <v>instance('especies')/root/item[name    =    ${spilha12} ]/peso</v>
      </c>
      <c r="K274" s="31"/>
      <c r="L274" s="13">
        <f t="shared" si="11"/>
        <v>12</v>
      </c>
    </row>
    <row r="275" spans="1:12" ht="15.6" x14ac:dyDescent="0.3">
      <c r="A275" s="2" t="s">
        <v>195</v>
      </c>
      <c r="B275" s="3" t="str">
        <f>"nome-local"&amp;L275</f>
        <v>nome-local12</v>
      </c>
      <c r="E275" s="16"/>
      <c r="J275" s="4" t="str">
        <f>"if(${"&amp;B270&amp;"} = 'OUTRO-PEIXEprincipe' or ${"&amp;B270&amp;"} = 'OUTRO-PEIXEsaotome' ,       ${"&amp;B271&amp;"},        instance('especies')/root/item[name    =    ${"&amp;B270&amp;"} ]/nomelocal)"</f>
        <v>if(${spilha12} = 'OUTRO-PEIXEprincipe' or ${spilha12} = 'OUTRO-PEIXEsaotome' ,       ${outro12},        instance('especies')/root/item[name    =    ${spilha12} ]/nomelocal)</v>
      </c>
      <c r="L275" s="13">
        <f t="shared" si="11"/>
        <v>12</v>
      </c>
    </row>
    <row r="276" spans="1:12" x14ac:dyDescent="0.3">
      <c r="A276" s="35" t="s">
        <v>11</v>
      </c>
      <c r="B276" s="36" t="str">
        <f>"capA"&amp;L276</f>
        <v>capA12</v>
      </c>
      <c r="C276" s="37" t="str">
        <f>"PESO DE ${nome-local"&amp;L276&amp;"}"</f>
        <v>PESO DE ${nome-local12}</v>
      </c>
      <c r="D276" s="38" t="str">
        <f>"not(selected(${spilha"&amp;L276&amp;"},''))"</f>
        <v>not(selected(${spilha12},''))</v>
      </c>
      <c r="E276" s="38" t="s">
        <v>25</v>
      </c>
      <c r="F276" s="39"/>
      <c r="G276" s="38"/>
      <c r="H276" s="38"/>
      <c r="I276" s="38"/>
      <c r="J276" s="38"/>
      <c r="K276" s="38"/>
      <c r="L276" s="13">
        <f t="shared" si="11"/>
        <v>12</v>
      </c>
    </row>
    <row r="277" spans="1:12" x14ac:dyDescent="0.3">
      <c r="A277" s="2" t="s">
        <v>32</v>
      </c>
      <c r="B277" s="3" t="str">
        <f>"apagar-cA"&amp;L277</f>
        <v>apagar-cA12</v>
      </c>
      <c r="C277" s="4" t="str">
        <f>"${"&amp;B275&amp;"}"</f>
        <v>${nome-local12}</v>
      </c>
      <c r="E277" s="8" t="s">
        <v>132</v>
      </c>
      <c r="F277" s="8" t="str">
        <f>"name =${"&amp;B270&amp;"} or name='espaco'"</f>
        <v>name =${spilha12} or name='espaco'</v>
      </c>
      <c r="L277" s="13">
        <f t="shared" si="11"/>
        <v>12</v>
      </c>
    </row>
    <row r="278" spans="1:12" x14ac:dyDescent="0.3">
      <c r="A278" s="2" t="s">
        <v>4</v>
      </c>
      <c r="B278" s="3" t="str">
        <f>"numero-ob"&amp;L278</f>
        <v>numero-ob12</v>
      </c>
      <c r="C278" s="4" t="str">
        <f>"Numero de peixes de ${"&amp;B275&amp;"}?"</f>
        <v>Numero de peixes de ${nome-local12}?</v>
      </c>
      <c r="D278" s="4" t="str">
        <f>"selected(${"&amp;B273&amp;"},'obrigatorio')"</f>
        <v>selected(${n-obr12},'obrigatorio')</v>
      </c>
      <c r="I278" s="4" t="s">
        <v>14</v>
      </c>
      <c r="J278" s="26"/>
      <c r="K278" s="26"/>
      <c r="L278" s="13">
        <f t="shared" si="11"/>
        <v>12</v>
      </c>
    </row>
    <row r="279" spans="1:12" x14ac:dyDescent="0.3">
      <c r="A279" s="2" t="s">
        <v>4</v>
      </c>
      <c r="B279" s="3" t="str">
        <f>"numero-naoob"&amp;L279</f>
        <v>numero-naoob12</v>
      </c>
      <c r="C279" s="4" t="str">
        <f>"Numero de peixes de ${"&amp;B275&amp;"}?"</f>
        <v>Numero de peixes de ${nome-local12}?</v>
      </c>
      <c r="D279" s="4" t="str">
        <f>"selected(${"&amp;B273&amp;"},'nao-obrigatorio')"</f>
        <v>selected(${n-obr12},'nao-obrigatorio')</v>
      </c>
      <c r="J279" s="26"/>
      <c r="K279" s="26"/>
      <c r="L279" s="13">
        <f t="shared" si="11"/>
        <v>12</v>
      </c>
    </row>
    <row r="280" spans="1:12" x14ac:dyDescent="0.3">
      <c r="A280" s="2" t="s">
        <v>33</v>
      </c>
      <c r="B280" s="3" t="str">
        <f>"peso-ob"&amp;L280</f>
        <v>peso-ob12</v>
      </c>
      <c r="C280" s="4" t="str">
        <f>"Quantos kilos de ${"&amp;B275&amp;"}?"</f>
        <v>Quantos kilos de ${nome-local12}?</v>
      </c>
      <c r="D280" s="4" t="str">
        <f>"selected(${"&amp;B274&amp;"},'obrigatorio')"</f>
        <v>selected(${p-obr12},'obrigatorio')</v>
      </c>
      <c r="I280" s="4" t="s">
        <v>14</v>
      </c>
      <c r="L280" s="13">
        <f t="shared" si="11"/>
        <v>12</v>
      </c>
    </row>
    <row r="281" spans="1:12" x14ac:dyDescent="0.3">
      <c r="A281" s="2" t="s">
        <v>33</v>
      </c>
      <c r="B281" s="3" t="str">
        <f>"peso-naoob"&amp;L281</f>
        <v>peso-naoob12</v>
      </c>
      <c r="C281" s="4" t="str">
        <f>"Quantos kilos de ${"&amp;B275&amp;"}?"</f>
        <v>Quantos kilos de ${nome-local12}?</v>
      </c>
      <c r="D281" s="4" t="str">
        <f>"selected(${"&amp;B274&amp;"},'nao-obrigatorio')"</f>
        <v>selected(${p-obr12},'nao-obrigatorio')</v>
      </c>
      <c r="E281"/>
      <c r="L281" s="13">
        <f t="shared" si="11"/>
        <v>12</v>
      </c>
    </row>
    <row r="282" spans="1:12" x14ac:dyDescent="0.3">
      <c r="A282" s="2" t="s">
        <v>136</v>
      </c>
      <c r="B282" s="3" t="str">
        <f>"uso"&amp;L282</f>
        <v>uso12</v>
      </c>
      <c r="C282" s="4" t="str">
        <f>"O ${"&amp;B275&amp;"} é para consumo, venda, salga ou São Pedro?"</f>
        <v>O ${nome-local12} é para consumo, venda, salga ou São Pedro?</v>
      </c>
      <c r="I282" s="4" t="s">
        <v>14</v>
      </c>
      <c r="L282" s="13">
        <f t="shared" si="11"/>
        <v>12</v>
      </c>
    </row>
    <row r="283" spans="1:12" x14ac:dyDescent="0.3">
      <c r="A283" s="35" t="s">
        <v>21</v>
      </c>
      <c r="B283" s="36"/>
      <c r="C283" s="37"/>
      <c r="D283" s="38"/>
      <c r="E283" s="38"/>
      <c r="F283" s="39"/>
      <c r="G283" s="38"/>
      <c r="H283" s="38"/>
      <c r="I283" s="38"/>
      <c r="J283" s="38"/>
      <c r="K283" s="38"/>
      <c r="L283" s="13">
        <f t="shared" si="11"/>
        <v>12</v>
      </c>
    </row>
    <row r="284" spans="1:12" x14ac:dyDescent="0.3">
      <c r="A284" s="35" t="s">
        <v>11</v>
      </c>
      <c r="B284" s="36" t="str">
        <f>"capB"&amp;L284</f>
        <v>capB12</v>
      </c>
      <c r="C284" s="37" t="str">
        <f>"PREÇO DE ${nome-local"&amp;L284&amp;"}"</f>
        <v>PREÇO DE ${nome-local12}</v>
      </c>
      <c r="D284" s="38" t="str">
        <f>"selected(${"&amp;B282&amp;"},'venda')"</f>
        <v>selected(${uso12},'venda')</v>
      </c>
      <c r="E284" s="38" t="s">
        <v>25</v>
      </c>
      <c r="F284" s="39"/>
      <c r="G284" s="38"/>
      <c r="H284" s="38"/>
      <c r="I284" s="38"/>
      <c r="J284" s="38"/>
      <c r="K284" s="38"/>
      <c r="L284" s="13">
        <f t="shared" si="11"/>
        <v>12</v>
      </c>
    </row>
    <row r="285" spans="1:12" x14ac:dyDescent="0.3">
      <c r="A285" s="2" t="s">
        <v>32</v>
      </c>
      <c r="B285" s="3" t="str">
        <f>"apagar-cB"&amp;L285</f>
        <v>apagar-cB12</v>
      </c>
      <c r="C285" s="4" t="str">
        <f>"PREÇO DE ${"&amp;B275&amp;"}"</f>
        <v>PREÇO DE ${nome-local12}</v>
      </c>
      <c r="E285" s="8" t="s">
        <v>132</v>
      </c>
      <c r="F285" s="8" t="str">
        <f>"name =${"&amp;B270&amp;"} or name='espaco'"</f>
        <v>name =${spilha12} or name='espaco'</v>
      </c>
      <c r="L285" s="13">
        <f t="shared" si="11"/>
        <v>12</v>
      </c>
    </row>
    <row r="286" spans="1:12" x14ac:dyDescent="0.3">
      <c r="A286" s="2" t="s">
        <v>4</v>
      </c>
      <c r="B286" s="3" t="str">
        <f>"preco"&amp;L286</f>
        <v>preco12</v>
      </c>
      <c r="C286" s="4" t="str">
        <f>"Preço de ${"&amp;B275&amp;"}? (em DOBRAS)"</f>
        <v>Preço de ${nome-local12}? (em DOBRAS)</v>
      </c>
      <c r="I286" s="4" t="s">
        <v>14</v>
      </c>
      <c r="L286" s="13">
        <f t="shared" si="11"/>
        <v>12</v>
      </c>
    </row>
    <row r="287" spans="1:12" x14ac:dyDescent="0.3">
      <c r="A287" s="2" t="s">
        <v>39</v>
      </c>
      <c r="B287" s="3" t="str">
        <f>"unidade-preco"&amp;L287</f>
        <v>unidade-preco12</v>
      </c>
      <c r="C287" s="4" t="s">
        <v>60</v>
      </c>
      <c r="I287" s="4" t="s">
        <v>14</v>
      </c>
      <c r="L287" s="13">
        <f t="shared" si="11"/>
        <v>12</v>
      </c>
    </row>
    <row r="288" spans="1:12" ht="15" customHeight="1" x14ac:dyDescent="0.3">
      <c r="A288" s="35" t="s">
        <v>21</v>
      </c>
      <c r="B288" s="36"/>
      <c r="C288" s="37"/>
      <c r="D288" s="38"/>
      <c r="E288" s="38"/>
      <c r="F288" s="39"/>
      <c r="G288" s="38"/>
      <c r="H288" s="38"/>
      <c r="I288" s="38"/>
      <c r="J288" s="38"/>
      <c r="K288" s="38"/>
      <c r="L288" s="13">
        <f t="shared" si="11"/>
        <v>12</v>
      </c>
    </row>
    <row r="289" spans="1:12" x14ac:dyDescent="0.3">
      <c r="A289" s="32" t="s">
        <v>21</v>
      </c>
      <c r="B289" s="33"/>
      <c r="C289" s="34"/>
      <c r="D289" s="34"/>
      <c r="E289" s="34"/>
      <c r="F289" s="34"/>
      <c r="G289" s="34"/>
      <c r="H289" s="34"/>
      <c r="I289" s="34"/>
      <c r="J289" s="34"/>
      <c r="K289" s="34"/>
      <c r="L289" s="13">
        <f t="shared" si="11"/>
        <v>12</v>
      </c>
    </row>
    <row r="290" spans="1:12" s="13" customFormat="1" x14ac:dyDescent="0.3">
      <c r="A290" s="9" t="s">
        <v>26</v>
      </c>
      <c r="B290" s="3" t="str">
        <f>"apanhou-peixe"&amp;L290</f>
        <v>apanhou-peixe12</v>
      </c>
      <c r="C290" s="8" t="s">
        <v>1269</v>
      </c>
      <c r="D290" s="4" t="str">
        <f>"selected(${apanhou-peixe"&amp;IF(L290=1,"",L290-1)&amp;"},'sim')"</f>
        <v>selected(${apanhou-peixe11},'sim')</v>
      </c>
      <c r="E290" s="8"/>
      <c r="F290" s="8"/>
      <c r="G290" s="8"/>
      <c r="H290" s="8"/>
      <c r="I290" s="8" t="s">
        <v>14</v>
      </c>
      <c r="J290" s="8"/>
      <c r="K290" s="8"/>
      <c r="L290" s="13">
        <f t="shared" si="11"/>
        <v>12</v>
      </c>
    </row>
    <row r="291" spans="1:12" x14ac:dyDescent="0.3">
      <c r="A291" s="32" t="s">
        <v>11</v>
      </c>
      <c r="B291" s="33" t="str">
        <f>"CAPTURAS"&amp;L292</f>
        <v>CAPTURAS13</v>
      </c>
      <c r="C291" s="34" t="str">
        <f>"${nome-local"&amp;L291&amp;"}"</f>
        <v>${nome-local13}</v>
      </c>
      <c r="D291" s="34" t="str">
        <f>"selected(${apanhou-peixe"&amp;IF(L291=1,"",L291-1)&amp;"},'sim')"</f>
        <v>selected(${apanhou-peixe12},'sim')</v>
      </c>
      <c r="E291" s="34"/>
      <c r="F291" s="34"/>
      <c r="G291" s="34"/>
      <c r="H291" s="34"/>
      <c r="I291" s="34"/>
      <c r="J291" s="34"/>
      <c r="K291" s="34"/>
      <c r="L291" s="13">
        <f>IF(C290="Apanhou mais algum peixe?", L290+1,L290)</f>
        <v>13</v>
      </c>
    </row>
    <row r="292" spans="1:12" x14ac:dyDescent="0.3">
      <c r="A292" s="9" t="s">
        <v>32</v>
      </c>
      <c r="B292" s="3" t="str">
        <f>"spilha"&amp;L292</f>
        <v>spilha13</v>
      </c>
      <c r="C292" s="8" t="s">
        <v>83</v>
      </c>
      <c r="D292" s="8"/>
      <c r="E292" s="8" t="s">
        <v>1000</v>
      </c>
      <c r="F292" s="8" t="s">
        <v>1260</v>
      </c>
      <c r="G292" s="8"/>
      <c r="H292" s="8"/>
      <c r="I292" s="8" t="s">
        <v>14</v>
      </c>
      <c r="L292" s="13">
        <f t="shared" ref="L292:L312" si="12">IF(C291="Apanhou mais algum peixe?", L291+1,L291)</f>
        <v>13</v>
      </c>
    </row>
    <row r="293" spans="1:12" ht="15.6" x14ac:dyDescent="0.3">
      <c r="A293" s="2" t="s">
        <v>3</v>
      </c>
      <c r="B293" s="3" t="str">
        <f>"outro"&amp;L293</f>
        <v>outro13</v>
      </c>
      <c r="C293" s="8" t="s">
        <v>1046</v>
      </c>
      <c r="D293" s="8" t="str">
        <f>"selected(${"&amp;B292&amp;"},'OUTRO-PEIXEprincipe') or selected(${"&amp;B292&amp;"},'OUTRO-PEIXEsaotome')"</f>
        <v>selected(${spilha13},'OUTRO-PEIXEprincipe') or selected(${spilha13},'OUTRO-PEIXEsaotome')</v>
      </c>
      <c r="E293" s="16"/>
      <c r="L293" s="13">
        <f t="shared" si="12"/>
        <v>13</v>
      </c>
    </row>
    <row r="294" spans="1:12" ht="15.6" x14ac:dyDescent="0.3">
      <c r="A294" s="2" t="s">
        <v>84</v>
      </c>
      <c r="B294" s="3" t="str">
        <f>"fotografia"&amp;L294</f>
        <v>fotografia13</v>
      </c>
      <c r="C294" s="8" t="s">
        <v>1417</v>
      </c>
      <c r="D294" s="8" t="str">
        <f>"selected(${"&amp;B292&amp;"},'OUTRO-PEIXEprincipe') or selected(${"&amp;B292&amp;"},'OUTRO-PEIXEsaotome')"</f>
        <v>selected(${spilha13},'OUTRO-PEIXEprincipe') or selected(${spilha13},'OUTRO-PEIXEsaotome')</v>
      </c>
      <c r="E294" s="16"/>
      <c r="L294" s="13">
        <f t="shared" si="12"/>
        <v>13</v>
      </c>
    </row>
    <row r="295" spans="1:12" ht="15.6" x14ac:dyDescent="0.3">
      <c r="A295" s="2" t="s">
        <v>195</v>
      </c>
      <c r="B295" s="3" t="str">
        <f>"n-obr"&amp;L295</f>
        <v>n-obr13</v>
      </c>
      <c r="C295" s="8"/>
      <c r="D295" s="8"/>
      <c r="E295" s="16"/>
      <c r="J295" s="31" t="str">
        <f>"instance('especies')/root/item[name    =    ${"&amp;B292&amp;"} ]/numero"</f>
        <v>instance('especies')/root/item[name    =    ${spilha13} ]/numero</v>
      </c>
      <c r="K295" s="31"/>
      <c r="L295" s="13">
        <f t="shared" si="12"/>
        <v>13</v>
      </c>
    </row>
    <row r="296" spans="1:12" ht="15.6" x14ac:dyDescent="0.3">
      <c r="A296" s="2" t="s">
        <v>195</v>
      </c>
      <c r="B296" s="3" t="str">
        <f>"p-obr"&amp;L296</f>
        <v>p-obr13</v>
      </c>
      <c r="C296" s="8"/>
      <c r="D296" s="8"/>
      <c r="E296" s="16"/>
      <c r="J296" s="31" t="str">
        <f>"instance('especies')/root/item[name    =    ${"&amp;B292&amp;"} ]/peso"</f>
        <v>instance('especies')/root/item[name    =    ${spilha13} ]/peso</v>
      </c>
      <c r="K296" s="31"/>
      <c r="L296" s="13">
        <f t="shared" si="12"/>
        <v>13</v>
      </c>
    </row>
    <row r="297" spans="1:12" ht="15.6" x14ac:dyDescent="0.3">
      <c r="A297" s="2" t="s">
        <v>195</v>
      </c>
      <c r="B297" s="3" t="str">
        <f>"nome-local"&amp;L297</f>
        <v>nome-local13</v>
      </c>
      <c r="E297" s="16"/>
      <c r="J297" s="4" t="str">
        <f>"if(${"&amp;B292&amp;"} = 'OUTRO-PEIXEprincipe' or ${"&amp;B292&amp;"} = 'OUTRO-PEIXEsaotome' ,       ${"&amp;B293&amp;"},        instance('especies')/root/item[name    =    ${"&amp;B292&amp;"} ]/nomelocal)"</f>
        <v>if(${spilha13} = 'OUTRO-PEIXEprincipe' or ${spilha13} = 'OUTRO-PEIXEsaotome' ,       ${outro13},        instance('especies')/root/item[name    =    ${spilha13} ]/nomelocal)</v>
      </c>
      <c r="L297" s="13">
        <f t="shared" si="12"/>
        <v>13</v>
      </c>
    </row>
    <row r="298" spans="1:12" x14ac:dyDescent="0.3">
      <c r="A298" s="35" t="s">
        <v>11</v>
      </c>
      <c r="B298" s="36" t="str">
        <f>"capA"&amp;L298</f>
        <v>capA13</v>
      </c>
      <c r="C298" s="37" t="str">
        <f>"PESO DE ${nome-local"&amp;L298&amp;"}"</f>
        <v>PESO DE ${nome-local13}</v>
      </c>
      <c r="D298" s="38" t="str">
        <f>"not(selected(${spilha"&amp;L298&amp;"},''))"</f>
        <v>not(selected(${spilha13},''))</v>
      </c>
      <c r="E298" s="38" t="s">
        <v>25</v>
      </c>
      <c r="F298" s="39"/>
      <c r="G298" s="38"/>
      <c r="H298" s="38"/>
      <c r="I298" s="38"/>
      <c r="J298" s="38"/>
      <c r="K298" s="38"/>
      <c r="L298" s="13">
        <f t="shared" si="12"/>
        <v>13</v>
      </c>
    </row>
    <row r="299" spans="1:12" x14ac:dyDescent="0.3">
      <c r="A299" s="2" t="s">
        <v>32</v>
      </c>
      <c r="B299" s="3" t="str">
        <f>"apagar-cA"&amp;L299</f>
        <v>apagar-cA13</v>
      </c>
      <c r="C299" s="4" t="str">
        <f>"${"&amp;B297&amp;"}"</f>
        <v>${nome-local13}</v>
      </c>
      <c r="E299" s="8" t="s">
        <v>132</v>
      </c>
      <c r="F299" s="8" t="str">
        <f>"name =${"&amp;B292&amp;"} or name='espaco'"</f>
        <v>name =${spilha13} or name='espaco'</v>
      </c>
      <c r="L299" s="13">
        <f t="shared" si="12"/>
        <v>13</v>
      </c>
    </row>
    <row r="300" spans="1:12" x14ac:dyDescent="0.3">
      <c r="A300" s="2" t="s">
        <v>4</v>
      </c>
      <c r="B300" s="3" t="str">
        <f>"numero-ob"&amp;L300</f>
        <v>numero-ob13</v>
      </c>
      <c r="C300" s="4" t="str">
        <f>"Numero de peixes de ${"&amp;B297&amp;"}?"</f>
        <v>Numero de peixes de ${nome-local13}?</v>
      </c>
      <c r="D300" s="4" t="str">
        <f>"selected(${"&amp;B295&amp;"},'obrigatorio')"</f>
        <v>selected(${n-obr13},'obrigatorio')</v>
      </c>
      <c r="I300" s="4" t="s">
        <v>14</v>
      </c>
      <c r="J300" s="26"/>
      <c r="K300" s="26"/>
      <c r="L300" s="13">
        <f t="shared" si="12"/>
        <v>13</v>
      </c>
    </row>
    <row r="301" spans="1:12" x14ac:dyDescent="0.3">
      <c r="A301" s="2" t="s">
        <v>4</v>
      </c>
      <c r="B301" s="3" t="str">
        <f>"numero-naoob"&amp;L301</f>
        <v>numero-naoob13</v>
      </c>
      <c r="C301" s="4" t="str">
        <f>"Numero de peixes de ${"&amp;B297&amp;"}?"</f>
        <v>Numero de peixes de ${nome-local13}?</v>
      </c>
      <c r="D301" s="4" t="str">
        <f>"selected(${"&amp;B295&amp;"},'nao-obrigatorio')"</f>
        <v>selected(${n-obr13},'nao-obrigatorio')</v>
      </c>
      <c r="J301" s="26"/>
      <c r="K301" s="26"/>
      <c r="L301" s="13">
        <f t="shared" si="12"/>
        <v>13</v>
      </c>
    </row>
    <row r="302" spans="1:12" x14ac:dyDescent="0.3">
      <c r="A302" s="2" t="s">
        <v>33</v>
      </c>
      <c r="B302" s="3" t="str">
        <f>"peso-ob"&amp;L302</f>
        <v>peso-ob13</v>
      </c>
      <c r="C302" s="4" t="str">
        <f>"Quantos kilos de ${"&amp;B297&amp;"}?"</f>
        <v>Quantos kilos de ${nome-local13}?</v>
      </c>
      <c r="D302" s="4" t="str">
        <f>"selected(${"&amp;B296&amp;"},'obrigatorio')"</f>
        <v>selected(${p-obr13},'obrigatorio')</v>
      </c>
      <c r="I302" s="4" t="s">
        <v>14</v>
      </c>
      <c r="L302" s="13">
        <f t="shared" si="12"/>
        <v>13</v>
      </c>
    </row>
    <row r="303" spans="1:12" x14ac:dyDescent="0.3">
      <c r="A303" s="2" t="s">
        <v>33</v>
      </c>
      <c r="B303" s="3" t="str">
        <f>"peso-naoob"&amp;L303</f>
        <v>peso-naoob13</v>
      </c>
      <c r="C303" s="4" t="str">
        <f>"Quantos kilos de ${"&amp;B297&amp;"}?"</f>
        <v>Quantos kilos de ${nome-local13}?</v>
      </c>
      <c r="D303" s="4" t="str">
        <f>"selected(${"&amp;B296&amp;"},'nao-obrigatorio')"</f>
        <v>selected(${p-obr13},'nao-obrigatorio')</v>
      </c>
      <c r="E303"/>
      <c r="L303" s="13">
        <f t="shared" si="12"/>
        <v>13</v>
      </c>
    </row>
    <row r="304" spans="1:12" x14ac:dyDescent="0.3">
      <c r="A304" s="2" t="s">
        <v>136</v>
      </c>
      <c r="B304" s="3" t="str">
        <f>"uso"&amp;L304</f>
        <v>uso13</v>
      </c>
      <c r="C304" s="4" t="str">
        <f>"O ${"&amp;B297&amp;"} é para consumo, venda, salga ou São Pedro?"</f>
        <v>O ${nome-local13} é para consumo, venda, salga ou São Pedro?</v>
      </c>
      <c r="I304" s="4" t="s">
        <v>14</v>
      </c>
      <c r="L304" s="13">
        <f t="shared" si="12"/>
        <v>13</v>
      </c>
    </row>
    <row r="305" spans="1:12" x14ac:dyDescent="0.3">
      <c r="A305" s="35" t="s">
        <v>21</v>
      </c>
      <c r="B305" s="36"/>
      <c r="C305" s="37"/>
      <c r="D305" s="38"/>
      <c r="E305" s="38"/>
      <c r="F305" s="39"/>
      <c r="G305" s="38"/>
      <c r="H305" s="38"/>
      <c r="I305" s="38"/>
      <c r="J305" s="38"/>
      <c r="K305" s="38"/>
      <c r="L305" s="13">
        <f t="shared" si="12"/>
        <v>13</v>
      </c>
    </row>
    <row r="306" spans="1:12" x14ac:dyDescent="0.3">
      <c r="A306" s="35" t="s">
        <v>11</v>
      </c>
      <c r="B306" s="36" t="str">
        <f>"capB"&amp;L306</f>
        <v>capB13</v>
      </c>
      <c r="C306" s="37" t="str">
        <f>"PREÇO DE ${nome-local"&amp;L306&amp;"}"</f>
        <v>PREÇO DE ${nome-local13}</v>
      </c>
      <c r="D306" s="38" t="str">
        <f>"selected(${"&amp;B304&amp;"},'venda')"</f>
        <v>selected(${uso13},'venda')</v>
      </c>
      <c r="E306" s="38" t="s">
        <v>25</v>
      </c>
      <c r="F306" s="39"/>
      <c r="G306" s="38"/>
      <c r="H306" s="38"/>
      <c r="I306" s="38"/>
      <c r="J306" s="38"/>
      <c r="K306" s="38"/>
      <c r="L306" s="13">
        <f t="shared" si="12"/>
        <v>13</v>
      </c>
    </row>
    <row r="307" spans="1:12" x14ac:dyDescent="0.3">
      <c r="A307" s="2" t="s">
        <v>32</v>
      </c>
      <c r="B307" s="3" t="str">
        <f>"apagar-cB"&amp;L307</f>
        <v>apagar-cB13</v>
      </c>
      <c r="C307" s="4" t="str">
        <f>"PREÇO DE ${"&amp;B297&amp;"}"</f>
        <v>PREÇO DE ${nome-local13}</v>
      </c>
      <c r="E307" s="8" t="s">
        <v>132</v>
      </c>
      <c r="F307" s="8" t="str">
        <f>"name =${"&amp;B292&amp;"} or name='espaco'"</f>
        <v>name =${spilha13} or name='espaco'</v>
      </c>
      <c r="L307" s="13">
        <f t="shared" si="12"/>
        <v>13</v>
      </c>
    </row>
    <row r="308" spans="1:12" x14ac:dyDescent="0.3">
      <c r="A308" s="2" t="s">
        <v>4</v>
      </c>
      <c r="B308" s="3" t="str">
        <f>"preco"&amp;L308</f>
        <v>preco13</v>
      </c>
      <c r="C308" s="4" t="str">
        <f>"Preço de ${"&amp;B297&amp;"}? (em DOBRAS)"</f>
        <v>Preço de ${nome-local13}? (em DOBRAS)</v>
      </c>
      <c r="I308" s="4" t="s">
        <v>14</v>
      </c>
      <c r="L308" s="13">
        <f t="shared" si="12"/>
        <v>13</v>
      </c>
    </row>
    <row r="309" spans="1:12" x14ac:dyDescent="0.3">
      <c r="A309" s="2" t="s">
        <v>39</v>
      </c>
      <c r="B309" s="3" t="str">
        <f>"unidade-preco"&amp;L309</f>
        <v>unidade-preco13</v>
      </c>
      <c r="C309" s="4" t="s">
        <v>60</v>
      </c>
      <c r="I309" s="4" t="s">
        <v>14</v>
      </c>
      <c r="L309" s="13">
        <f t="shared" si="12"/>
        <v>13</v>
      </c>
    </row>
    <row r="310" spans="1:12" ht="15" customHeight="1" x14ac:dyDescent="0.3">
      <c r="A310" s="35" t="s">
        <v>21</v>
      </c>
      <c r="B310" s="36"/>
      <c r="C310" s="37"/>
      <c r="D310" s="38"/>
      <c r="E310" s="38"/>
      <c r="F310" s="39"/>
      <c r="G310" s="38"/>
      <c r="H310" s="38"/>
      <c r="I310" s="38"/>
      <c r="J310" s="38"/>
      <c r="K310" s="38"/>
      <c r="L310" s="13">
        <f t="shared" si="12"/>
        <v>13</v>
      </c>
    </row>
    <row r="311" spans="1:12" x14ac:dyDescent="0.3">
      <c r="A311" s="32" t="s">
        <v>21</v>
      </c>
      <c r="B311" s="33"/>
      <c r="C311" s="34"/>
      <c r="D311" s="34"/>
      <c r="E311" s="34"/>
      <c r="F311" s="34"/>
      <c r="G311" s="34"/>
      <c r="H311" s="34"/>
      <c r="I311" s="34"/>
      <c r="J311" s="34"/>
      <c r="K311" s="34"/>
      <c r="L311" s="13">
        <f t="shared" si="12"/>
        <v>13</v>
      </c>
    </row>
    <row r="312" spans="1:12" s="13" customFormat="1" x14ac:dyDescent="0.3">
      <c r="A312" s="9" t="s">
        <v>26</v>
      </c>
      <c r="B312" s="3" t="str">
        <f>"apanhou-peixe"&amp;L312</f>
        <v>apanhou-peixe13</v>
      </c>
      <c r="C312" s="8" t="s">
        <v>1269</v>
      </c>
      <c r="D312" s="4" t="str">
        <f>"selected(${apanhou-peixe"&amp;IF(L312=1,"",L312-1)&amp;"},'sim')"</f>
        <v>selected(${apanhou-peixe12},'sim')</v>
      </c>
      <c r="E312" s="8"/>
      <c r="F312" s="8"/>
      <c r="G312" s="8"/>
      <c r="H312" s="8"/>
      <c r="I312" s="8" t="s">
        <v>14</v>
      </c>
      <c r="J312" s="8"/>
      <c r="K312" s="8"/>
      <c r="L312" s="13">
        <f t="shared" si="12"/>
        <v>13</v>
      </c>
    </row>
    <row r="313" spans="1:12" x14ac:dyDescent="0.3">
      <c r="A313" s="32" t="s">
        <v>11</v>
      </c>
      <c r="B313" s="33" t="str">
        <f>"CAPTURAS"&amp;L314</f>
        <v>CAPTURAS14</v>
      </c>
      <c r="C313" s="34" t="str">
        <f>"${nome-local"&amp;L313&amp;"}"</f>
        <v>${nome-local14}</v>
      </c>
      <c r="D313" s="34" t="str">
        <f>"selected(${apanhou-peixe"&amp;IF(L313=1,"",L313-1)&amp;"},'sim')"</f>
        <v>selected(${apanhou-peixe13},'sim')</v>
      </c>
      <c r="E313" s="34"/>
      <c r="F313" s="34"/>
      <c r="G313" s="34"/>
      <c r="H313" s="34"/>
      <c r="I313" s="34"/>
      <c r="J313" s="34"/>
      <c r="K313" s="34"/>
      <c r="L313" s="13">
        <f>IF(C312="Apanhou mais algum peixe?", L312+1,L312)</f>
        <v>14</v>
      </c>
    </row>
    <row r="314" spans="1:12" x14ac:dyDescent="0.3">
      <c r="A314" s="9" t="s">
        <v>32</v>
      </c>
      <c r="B314" s="3" t="str">
        <f>"spilha"&amp;L314</f>
        <v>spilha14</v>
      </c>
      <c r="C314" s="8" t="s">
        <v>83</v>
      </c>
      <c r="D314" s="8"/>
      <c r="E314" s="8" t="s">
        <v>1000</v>
      </c>
      <c r="F314" s="8" t="s">
        <v>1260</v>
      </c>
      <c r="G314" s="8"/>
      <c r="H314" s="8"/>
      <c r="I314" s="8" t="s">
        <v>14</v>
      </c>
      <c r="L314" s="13">
        <f t="shared" ref="L314:L334" si="13">IF(C313="Apanhou mais algum peixe?", L313+1,L313)</f>
        <v>14</v>
      </c>
    </row>
    <row r="315" spans="1:12" ht="15.6" x14ac:dyDescent="0.3">
      <c r="A315" s="2" t="s">
        <v>3</v>
      </c>
      <c r="B315" s="3" t="str">
        <f>"outro"&amp;L315</f>
        <v>outro14</v>
      </c>
      <c r="C315" s="8" t="s">
        <v>1046</v>
      </c>
      <c r="D315" s="8" t="str">
        <f>"selected(${"&amp;B314&amp;"},'OUTRO-PEIXEprincipe') or selected(${"&amp;B314&amp;"},'OUTRO-PEIXEsaotome')"</f>
        <v>selected(${spilha14},'OUTRO-PEIXEprincipe') or selected(${spilha14},'OUTRO-PEIXEsaotome')</v>
      </c>
      <c r="E315" s="16"/>
      <c r="L315" s="13">
        <f t="shared" si="13"/>
        <v>14</v>
      </c>
    </row>
    <row r="316" spans="1:12" ht="15.6" x14ac:dyDescent="0.3">
      <c r="A316" s="2" t="s">
        <v>84</v>
      </c>
      <c r="B316" s="3" t="str">
        <f>"fotografia"&amp;L316</f>
        <v>fotografia14</v>
      </c>
      <c r="C316" s="8" t="s">
        <v>1417</v>
      </c>
      <c r="D316" s="8" t="str">
        <f>"selected(${"&amp;B314&amp;"},'OUTRO-PEIXEprincipe') or selected(${"&amp;B314&amp;"},'OUTRO-PEIXEsaotome')"</f>
        <v>selected(${spilha14},'OUTRO-PEIXEprincipe') or selected(${spilha14},'OUTRO-PEIXEsaotome')</v>
      </c>
      <c r="E316" s="16"/>
      <c r="L316" s="13">
        <f t="shared" si="13"/>
        <v>14</v>
      </c>
    </row>
    <row r="317" spans="1:12" ht="15.6" x14ac:dyDescent="0.3">
      <c r="A317" s="2" t="s">
        <v>195</v>
      </c>
      <c r="B317" s="3" t="str">
        <f>"n-obr"&amp;L317</f>
        <v>n-obr14</v>
      </c>
      <c r="C317" s="8"/>
      <c r="D317" s="8"/>
      <c r="E317" s="16"/>
      <c r="J317" s="31" t="str">
        <f>"instance('especies')/root/item[name    =    ${"&amp;B314&amp;"} ]/numero"</f>
        <v>instance('especies')/root/item[name    =    ${spilha14} ]/numero</v>
      </c>
      <c r="K317" s="31"/>
      <c r="L317" s="13">
        <f t="shared" si="13"/>
        <v>14</v>
      </c>
    </row>
    <row r="318" spans="1:12" ht="15.6" x14ac:dyDescent="0.3">
      <c r="A318" s="2" t="s">
        <v>195</v>
      </c>
      <c r="B318" s="3" t="str">
        <f>"p-obr"&amp;L318</f>
        <v>p-obr14</v>
      </c>
      <c r="C318" s="8"/>
      <c r="D318" s="8"/>
      <c r="E318" s="16"/>
      <c r="J318" s="31" t="str">
        <f>"instance('especies')/root/item[name    =    ${"&amp;B314&amp;"} ]/peso"</f>
        <v>instance('especies')/root/item[name    =    ${spilha14} ]/peso</v>
      </c>
      <c r="K318" s="31"/>
      <c r="L318" s="13">
        <f t="shared" si="13"/>
        <v>14</v>
      </c>
    </row>
    <row r="319" spans="1:12" ht="15.6" x14ac:dyDescent="0.3">
      <c r="A319" s="2" t="s">
        <v>195</v>
      </c>
      <c r="B319" s="3" t="str">
        <f>"nome-local"&amp;L319</f>
        <v>nome-local14</v>
      </c>
      <c r="E319" s="16"/>
      <c r="J319" s="4" t="str">
        <f>"if(${"&amp;B314&amp;"} = 'OUTRO-PEIXEprincipe' or ${"&amp;B314&amp;"} = 'OUTRO-PEIXEsaotome' ,       ${"&amp;B315&amp;"},        instance('especies')/root/item[name    =    ${"&amp;B314&amp;"} ]/nomelocal)"</f>
        <v>if(${spilha14} = 'OUTRO-PEIXEprincipe' or ${spilha14} = 'OUTRO-PEIXEsaotome' ,       ${outro14},        instance('especies')/root/item[name    =    ${spilha14} ]/nomelocal)</v>
      </c>
      <c r="L319" s="13">
        <f t="shared" si="13"/>
        <v>14</v>
      </c>
    </row>
    <row r="320" spans="1:12" x14ac:dyDescent="0.3">
      <c r="A320" s="35" t="s">
        <v>11</v>
      </c>
      <c r="B320" s="36" t="str">
        <f>"capA"&amp;L320</f>
        <v>capA14</v>
      </c>
      <c r="C320" s="37" t="str">
        <f>"PESO DE ${nome-local"&amp;L320&amp;"}"</f>
        <v>PESO DE ${nome-local14}</v>
      </c>
      <c r="D320" s="38" t="str">
        <f>"not(selected(${spilha"&amp;L320&amp;"},''))"</f>
        <v>not(selected(${spilha14},''))</v>
      </c>
      <c r="E320" s="38" t="s">
        <v>25</v>
      </c>
      <c r="F320" s="39"/>
      <c r="G320" s="38"/>
      <c r="H320" s="38"/>
      <c r="I320" s="38"/>
      <c r="J320" s="38"/>
      <c r="K320" s="38"/>
      <c r="L320" s="13">
        <f t="shared" si="13"/>
        <v>14</v>
      </c>
    </row>
    <row r="321" spans="1:12" x14ac:dyDescent="0.3">
      <c r="A321" s="2" t="s">
        <v>32</v>
      </c>
      <c r="B321" s="3" t="str">
        <f>"apagar-cA"&amp;L321</f>
        <v>apagar-cA14</v>
      </c>
      <c r="C321" s="4" t="str">
        <f>"${"&amp;B319&amp;"}"</f>
        <v>${nome-local14}</v>
      </c>
      <c r="E321" s="8" t="s">
        <v>132</v>
      </c>
      <c r="F321" s="8" t="str">
        <f>"name =${"&amp;B314&amp;"} or name='espaco'"</f>
        <v>name =${spilha14} or name='espaco'</v>
      </c>
      <c r="L321" s="13">
        <f t="shared" si="13"/>
        <v>14</v>
      </c>
    </row>
    <row r="322" spans="1:12" x14ac:dyDescent="0.3">
      <c r="A322" s="2" t="s">
        <v>4</v>
      </c>
      <c r="B322" s="3" t="str">
        <f>"numero-ob"&amp;L322</f>
        <v>numero-ob14</v>
      </c>
      <c r="C322" s="4" t="str">
        <f>"Numero de peixes de ${"&amp;B319&amp;"}?"</f>
        <v>Numero de peixes de ${nome-local14}?</v>
      </c>
      <c r="D322" s="4" t="str">
        <f>"selected(${"&amp;B317&amp;"},'obrigatorio')"</f>
        <v>selected(${n-obr14},'obrigatorio')</v>
      </c>
      <c r="I322" s="4" t="s">
        <v>14</v>
      </c>
      <c r="J322" s="26"/>
      <c r="K322" s="26"/>
      <c r="L322" s="13">
        <f t="shared" si="13"/>
        <v>14</v>
      </c>
    </row>
    <row r="323" spans="1:12" x14ac:dyDescent="0.3">
      <c r="A323" s="2" t="s">
        <v>4</v>
      </c>
      <c r="B323" s="3" t="str">
        <f>"numero-naoob"&amp;L323</f>
        <v>numero-naoob14</v>
      </c>
      <c r="C323" s="4" t="str">
        <f>"Numero de peixes de ${"&amp;B319&amp;"}?"</f>
        <v>Numero de peixes de ${nome-local14}?</v>
      </c>
      <c r="D323" s="4" t="str">
        <f>"selected(${"&amp;B317&amp;"},'nao-obrigatorio')"</f>
        <v>selected(${n-obr14},'nao-obrigatorio')</v>
      </c>
      <c r="J323" s="26"/>
      <c r="K323" s="26"/>
      <c r="L323" s="13">
        <f t="shared" si="13"/>
        <v>14</v>
      </c>
    </row>
    <row r="324" spans="1:12" x14ac:dyDescent="0.3">
      <c r="A324" s="2" t="s">
        <v>33</v>
      </c>
      <c r="B324" s="3" t="str">
        <f>"peso-ob"&amp;L324</f>
        <v>peso-ob14</v>
      </c>
      <c r="C324" s="4" t="str">
        <f>"Quantos kilos de ${"&amp;B319&amp;"}?"</f>
        <v>Quantos kilos de ${nome-local14}?</v>
      </c>
      <c r="D324" s="4" t="str">
        <f>"selected(${"&amp;B318&amp;"},'obrigatorio')"</f>
        <v>selected(${p-obr14},'obrigatorio')</v>
      </c>
      <c r="I324" s="4" t="s">
        <v>14</v>
      </c>
      <c r="L324" s="13">
        <f t="shared" si="13"/>
        <v>14</v>
      </c>
    </row>
    <row r="325" spans="1:12" x14ac:dyDescent="0.3">
      <c r="A325" s="2" t="s">
        <v>33</v>
      </c>
      <c r="B325" s="3" t="str">
        <f>"peso-naoob"&amp;L325</f>
        <v>peso-naoob14</v>
      </c>
      <c r="C325" s="4" t="str">
        <f>"Quantos kilos de ${"&amp;B319&amp;"}?"</f>
        <v>Quantos kilos de ${nome-local14}?</v>
      </c>
      <c r="D325" s="4" t="str">
        <f>"selected(${"&amp;B318&amp;"},'nao-obrigatorio')"</f>
        <v>selected(${p-obr14},'nao-obrigatorio')</v>
      </c>
      <c r="E325"/>
      <c r="L325" s="13">
        <f t="shared" si="13"/>
        <v>14</v>
      </c>
    </row>
    <row r="326" spans="1:12" x14ac:dyDescent="0.3">
      <c r="A326" s="2" t="s">
        <v>136</v>
      </c>
      <c r="B326" s="3" t="str">
        <f>"uso"&amp;L326</f>
        <v>uso14</v>
      </c>
      <c r="C326" s="4" t="str">
        <f>"O ${"&amp;B319&amp;"} é para consumo, venda, salga ou São Pedro?"</f>
        <v>O ${nome-local14} é para consumo, venda, salga ou São Pedro?</v>
      </c>
      <c r="I326" s="4" t="s">
        <v>14</v>
      </c>
      <c r="L326" s="13">
        <f t="shared" si="13"/>
        <v>14</v>
      </c>
    </row>
    <row r="327" spans="1:12" x14ac:dyDescent="0.3">
      <c r="A327" s="35" t="s">
        <v>21</v>
      </c>
      <c r="B327" s="36"/>
      <c r="C327" s="37"/>
      <c r="D327" s="38"/>
      <c r="E327" s="38"/>
      <c r="F327" s="39"/>
      <c r="G327" s="38"/>
      <c r="H327" s="38"/>
      <c r="I327" s="38"/>
      <c r="J327" s="38"/>
      <c r="K327" s="38"/>
      <c r="L327" s="13">
        <f t="shared" si="13"/>
        <v>14</v>
      </c>
    </row>
    <row r="328" spans="1:12" x14ac:dyDescent="0.3">
      <c r="A328" s="35" t="s">
        <v>11</v>
      </c>
      <c r="B328" s="36" t="str">
        <f>"capB"&amp;L328</f>
        <v>capB14</v>
      </c>
      <c r="C328" s="37" t="str">
        <f>"PREÇO DE ${nome-local"&amp;L328&amp;"}"</f>
        <v>PREÇO DE ${nome-local14}</v>
      </c>
      <c r="D328" s="38" t="str">
        <f>"selected(${"&amp;B326&amp;"},'venda')"</f>
        <v>selected(${uso14},'venda')</v>
      </c>
      <c r="E328" s="38" t="s">
        <v>25</v>
      </c>
      <c r="F328" s="39"/>
      <c r="G328" s="38"/>
      <c r="H328" s="38"/>
      <c r="I328" s="38"/>
      <c r="J328" s="38"/>
      <c r="K328" s="38"/>
      <c r="L328" s="13">
        <f t="shared" si="13"/>
        <v>14</v>
      </c>
    </row>
    <row r="329" spans="1:12" x14ac:dyDescent="0.3">
      <c r="A329" s="2" t="s">
        <v>32</v>
      </c>
      <c r="B329" s="3" t="str">
        <f>"apagar-cB"&amp;L329</f>
        <v>apagar-cB14</v>
      </c>
      <c r="C329" s="4" t="str">
        <f>"PREÇO DE ${"&amp;B319&amp;"}"</f>
        <v>PREÇO DE ${nome-local14}</v>
      </c>
      <c r="E329" s="8" t="s">
        <v>132</v>
      </c>
      <c r="F329" s="8" t="str">
        <f>"name =${"&amp;B314&amp;"} or name='espaco'"</f>
        <v>name =${spilha14} or name='espaco'</v>
      </c>
      <c r="L329" s="13">
        <f t="shared" si="13"/>
        <v>14</v>
      </c>
    </row>
    <row r="330" spans="1:12" x14ac:dyDescent="0.3">
      <c r="A330" s="2" t="s">
        <v>4</v>
      </c>
      <c r="B330" s="3" t="str">
        <f>"preco"&amp;L330</f>
        <v>preco14</v>
      </c>
      <c r="C330" s="4" t="str">
        <f>"Preço de ${"&amp;B319&amp;"}? (em DOBRAS)"</f>
        <v>Preço de ${nome-local14}? (em DOBRAS)</v>
      </c>
      <c r="I330" s="4" t="s">
        <v>14</v>
      </c>
      <c r="L330" s="13">
        <f t="shared" si="13"/>
        <v>14</v>
      </c>
    </row>
    <row r="331" spans="1:12" x14ac:dyDescent="0.3">
      <c r="A331" s="2" t="s">
        <v>39</v>
      </c>
      <c r="B331" s="3" t="str">
        <f>"unidade-preco"&amp;L331</f>
        <v>unidade-preco14</v>
      </c>
      <c r="C331" s="4" t="s">
        <v>60</v>
      </c>
      <c r="I331" s="4" t="s">
        <v>14</v>
      </c>
      <c r="L331" s="13">
        <f t="shared" si="13"/>
        <v>14</v>
      </c>
    </row>
    <row r="332" spans="1:12" ht="15" customHeight="1" x14ac:dyDescent="0.3">
      <c r="A332" s="35" t="s">
        <v>21</v>
      </c>
      <c r="B332" s="36"/>
      <c r="C332" s="37"/>
      <c r="D332" s="38"/>
      <c r="E332" s="38"/>
      <c r="F332" s="39"/>
      <c r="G332" s="38"/>
      <c r="H332" s="38"/>
      <c r="I332" s="38"/>
      <c r="J332" s="38"/>
      <c r="K332" s="38"/>
      <c r="L332" s="13">
        <f t="shared" si="13"/>
        <v>14</v>
      </c>
    </row>
    <row r="333" spans="1:12" x14ac:dyDescent="0.3">
      <c r="A333" s="32" t="s">
        <v>21</v>
      </c>
      <c r="B333" s="33"/>
      <c r="C333" s="34"/>
      <c r="D333" s="34"/>
      <c r="E333" s="34"/>
      <c r="F333" s="34"/>
      <c r="G333" s="34"/>
      <c r="H333" s="34"/>
      <c r="I333" s="34"/>
      <c r="J333" s="34"/>
      <c r="K333" s="34"/>
      <c r="L333" s="13">
        <f t="shared" si="13"/>
        <v>14</v>
      </c>
    </row>
    <row r="334" spans="1:12" s="13" customFormat="1" x14ac:dyDescent="0.3">
      <c r="A334" s="9" t="s">
        <v>26</v>
      </c>
      <c r="B334" s="3" t="str">
        <f>"apanhou-peixe"&amp;L334</f>
        <v>apanhou-peixe14</v>
      </c>
      <c r="C334" s="8" t="s">
        <v>1269</v>
      </c>
      <c r="D334" s="4" t="str">
        <f>"selected(${apanhou-peixe"&amp;IF(L334=1,"",L334-1)&amp;"},'sim')"</f>
        <v>selected(${apanhou-peixe13},'sim')</v>
      </c>
      <c r="E334" s="8"/>
      <c r="F334" s="8"/>
      <c r="G334" s="8"/>
      <c r="H334" s="8"/>
      <c r="I334" s="8" t="s">
        <v>14</v>
      </c>
      <c r="J334" s="8"/>
      <c r="K334" s="8"/>
      <c r="L334" s="13">
        <f t="shared" si="13"/>
        <v>14</v>
      </c>
    </row>
    <row r="335" spans="1:12" x14ac:dyDescent="0.3">
      <c r="A335" s="32" t="s">
        <v>11</v>
      </c>
      <c r="B335" s="33" t="str">
        <f>"CAPTURAS"&amp;L336</f>
        <v>CAPTURAS15</v>
      </c>
      <c r="C335" s="34" t="str">
        <f>"${nome-local"&amp;L335&amp;"}"</f>
        <v>${nome-local15}</v>
      </c>
      <c r="D335" s="34" t="str">
        <f>"selected(${apanhou-peixe"&amp;IF(L335=1,"",L335-1)&amp;"},'sim')"</f>
        <v>selected(${apanhou-peixe14},'sim')</v>
      </c>
      <c r="E335" s="34"/>
      <c r="F335" s="34"/>
      <c r="G335" s="34"/>
      <c r="H335" s="34"/>
      <c r="I335" s="34"/>
      <c r="J335" s="34"/>
      <c r="K335" s="34"/>
      <c r="L335" s="13">
        <f>IF(C334="Apanhou mais algum peixe?", L334+1,L334)</f>
        <v>15</v>
      </c>
    </row>
    <row r="336" spans="1:12" x14ac:dyDescent="0.3">
      <c r="A336" s="9" t="s">
        <v>32</v>
      </c>
      <c r="B336" s="3" t="str">
        <f>"spilha"&amp;L336</f>
        <v>spilha15</v>
      </c>
      <c r="C336" s="8" t="s">
        <v>83</v>
      </c>
      <c r="D336" s="8"/>
      <c r="E336" s="8" t="s">
        <v>1000</v>
      </c>
      <c r="F336" s="8" t="s">
        <v>1260</v>
      </c>
      <c r="G336" s="8"/>
      <c r="H336" s="8"/>
      <c r="I336" s="8" t="s">
        <v>14</v>
      </c>
      <c r="L336" s="13">
        <f t="shared" ref="L336:L356" si="14">IF(C335="Apanhou mais algum peixe?", L335+1,L335)</f>
        <v>15</v>
      </c>
    </row>
    <row r="337" spans="1:12" ht="15.6" x14ac:dyDescent="0.3">
      <c r="A337" s="2" t="s">
        <v>3</v>
      </c>
      <c r="B337" s="3" t="str">
        <f>"outro"&amp;L337</f>
        <v>outro15</v>
      </c>
      <c r="C337" s="8" t="s">
        <v>1046</v>
      </c>
      <c r="D337" s="8" t="str">
        <f>"selected(${"&amp;B336&amp;"},'OUTRO-PEIXEprincipe') or selected(${"&amp;B336&amp;"},'OUTRO-PEIXEsaotome')"</f>
        <v>selected(${spilha15},'OUTRO-PEIXEprincipe') or selected(${spilha15},'OUTRO-PEIXEsaotome')</v>
      </c>
      <c r="E337" s="16"/>
      <c r="L337" s="13">
        <f t="shared" si="14"/>
        <v>15</v>
      </c>
    </row>
    <row r="338" spans="1:12" ht="15.6" x14ac:dyDescent="0.3">
      <c r="A338" s="2" t="s">
        <v>84</v>
      </c>
      <c r="B338" s="3" t="str">
        <f>"fotografia"&amp;L338</f>
        <v>fotografia15</v>
      </c>
      <c r="C338" s="8" t="s">
        <v>1417</v>
      </c>
      <c r="D338" s="8" t="str">
        <f>"selected(${"&amp;B336&amp;"},'OUTRO-PEIXEprincipe') or selected(${"&amp;B336&amp;"},'OUTRO-PEIXEsaotome')"</f>
        <v>selected(${spilha15},'OUTRO-PEIXEprincipe') or selected(${spilha15},'OUTRO-PEIXEsaotome')</v>
      </c>
      <c r="E338" s="16"/>
      <c r="L338" s="13">
        <f t="shared" si="14"/>
        <v>15</v>
      </c>
    </row>
    <row r="339" spans="1:12" ht="15.6" x14ac:dyDescent="0.3">
      <c r="A339" s="2" t="s">
        <v>195</v>
      </c>
      <c r="B339" s="3" t="str">
        <f>"n-obr"&amp;L339</f>
        <v>n-obr15</v>
      </c>
      <c r="C339" s="8"/>
      <c r="D339" s="8"/>
      <c r="E339" s="16"/>
      <c r="J339" s="31" t="str">
        <f>"instance('especies')/root/item[name    =    ${"&amp;B336&amp;"} ]/numero"</f>
        <v>instance('especies')/root/item[name    =    ${spilha15} ]/numero</v>
      </c>
      <c r="K339" s="31"/>
      <c r="L339" s="13">
        <f t="shared" si="14"/>
        <v>15</v>
      </c>
    </row>
    <row r="340" spans="1:12" ht="15.6" x14ac:dyDescent="0.3">
      <c r="A340" s="2" t="s">
        <v>195</v>
      </c>
      <c r="B340" s="3" t="str">
        <f>"p-obr"&amp;L340</f>
        <v>p-obr15</v>
      </c>
      <c r="C340" s="8"/>
      <c r="D340" s="8"/>
      <c r="E340" s="16"/>
      <c r="J340" s="31" t="str">
        <f>"instance('especies')/root/item[name    =    ${"&amp;B336&amp;"} ]/peso"</f>
        <v>instance('especies')/root/item[name    =    ${spilha15} ]/peso</v>
      </c>
      <c r="K340" s="31"/>
      <c r="L340" s="13">
        <f t="shared" si="14"/>
        <v>15</v>
      </c>
    </row>
    <row r="341" spans="1:12" ht="15.6" x14ac:dyDescent="0.3">
      <c r="A341" s="2" t="s">
        <v>195</v>
      </c>
      <c r="B341" s="3" t="str">
        <f>"nome-local"&amp;L341</f>
        <v>nome-local15</v>
      </c>
      <c r="E341" s="16"/>
      <c r="J341" s="4" t="str">
        <f>"if(${"&amp;B336&amp;"} = 'OUTRO-PEIXEprincipe' or ${"&amp;B336&amp;"} = 'OUTRO-PEIXEsaotome' ,       ${"&amp;B337&amp;"},        instance('especies')/root/item[name    =    ${"&amp;B336&amp;"} ]/nomelocal)"</f>
        <v>if(${spilha15} = 'OUTRO-PEIXEprincipe' or ${spilha15} = 'OUTRO-PEIXEsaotome' ,       ${outro15},        instance('especies')/root/item[name    =    ${spilha15} ]/nomelocal)</v>
      </c>
      <c r="L341" s="13">
        <f t="shared" si="14"/>
        <v>15</v>
      </c>
    </row>
    <row r="342" spans="1:12" x14ac:dyDescent="0.3">
      <c r="A342" s="35" t="s">
        <v>11</v>
      </c>
      <c r="B342" s="36" t="str">
        <f>"capA"&amp;L342</f>
        <v>capA15</v>
      </c>
      <c r="C342" s="37" t="str">
        <f>"PESO DE ${nome-local"&amp;L342&amp;"}"</f>
        <v>PESO DE ${nome-local15}</v>
      </c>
      <c r="D342" s="38" t="str">
        <f>"not(selected(${spilha"&amp;L342&amp;"},''))"</f>
        <v>not(selected(${spilha15},''))</v>
      </c>
      <c r="E342" s="38" t="s">
        <v>25</v>
      </c>
      <c r="F342" s="39"/>
      <c r="G342" s="38"/>
      <c r="H342" s="38"/>
      <c r="I342" s="38"/>
      <c r="J342" s="38"/>
      <c r="K342" s="38"/>
      <c r="L342" s="13">
        <f t="shared" si="14"/>
        <v>15</v>
      </c>
    </row>
    <row r="343" spans="1:12" x14ac:dyDescent="0.3">
      <c r="A343" s="2" t="s">
        <v>32</v>
      </c>
      <c r="B343" s="3" t="str">
        <f>"apagar-cA"&amp;L343</f>
        <v>apagar-cA15</v>
      </c>
      <c r="C343" s="4" t="str">
        <f>"${"&amp;B341&amp;"}"</f>
        <v>${nome-local15}</v>
      </c>
      <c r="E343" s="8" t="s">
        <v>132</v>
      </c>
      <c r="F343" s="8" t="str">
        <f>"name =${"&amp;B336&amp;"} or name='espaco'"</f>
        <v>name =${spilha15} or name='espaco'</v>
      </c>
      <c r="L343" s="13">
        <f t="shared" si="14"/>
        <v>15</v>
      </c>
    </row>
    <row r="344" spans="1:12" x14ac:dyDescent="0.3">
      <c r="A344" s="2" t="s">
        <v>4</v>
      </c>
      <c r="B344" s="3" t="str">
        <f>"numero-ob"&amp;L344</f>
        <v>numero-ob15</v>
      </c>
      <c r="C344" s="4" t="str">
        <f>"Numero de peixes de ${"&amp;B341&amp;"}?"</f>
        <v>Numero de peixes de ${nome-local15}?</v>
      </c>
      <c r="D344" s="4" t="str">
        <f>"selected(${"&amp;B339&amp;"},'obrigatorio')"</f>
        <v>selected(${n-obr15},'obrigatorio')</v>
      </c>
      <c r="I344" s="4" t="s">
        <v>14</v>
      </c>
      <c r="J344" s="26"/>
      <c r="K344" s="26"/>
      <c r="L344" s="13">
        <f t="shared" si="14"/>
        <v>15</v>
      </c>
    </row>
    <row r="345" spans="1:12" x14ac:dyDescent="0.3">
      <c r="A345" s="2" t="s">
        <v>4</v>
      </c>
      <c r="B345" s="3" t="str">
        <f>"numero-naoob"&amp;L345</f>
        <v>numero-naoob15</v>
      </c>
      <c r="C345" s="4" t="str">
        <f>"Numero de peixes de ${"&amp;B341&amp;"}?"</f>
        <v>Numero de peixes de ${nome-local15}?</v>
      </c>
      <c r="D345" s="4" t="str">
        <f>"selected(${"&amp;B339&amp;"},'nao-obrigatorio')"</f>
        <v>selected(${n-obr15},'nao-obrigatorio')</v>
      </c>
      <c r="J345" s="26"/>
      <c r="K345" s="26"/>
      <c r="L345" s="13">
        <f t="shared" si="14"/>
        <v>15</v>
      </c>
    </row>
    <row r="346" spans="1:12" x14ac:dyDescent="0.3">
      <c r="A346" s="2" t="s">
        <v>33</v>
      </c>
      <c r="B346" s="3" t="str">
        <f>"peso-ob"&amp;L346</f>
        <v>peso-ob15</v>
      </c>
      <c r="C346" s="4" t="str">
        <f>"Quantos kilos de ${"&amp;B341&amp;"}?"</f>
        <v>Quantos kilos de ${nome-local15}?</v>
      </c>
      <c r="D346" s="4" t="str">
        <f>"selected(${"&amp;B340&amp;"},'obrigatorio')"</f>
        <v>selected(${p-obr15},'obrigatorio')</v>
      </c>
      <c r="I346" s="4" t="s">
        <v>14</v>
      </c>
      <c r="L346" s="13">
        <f t="shared" si="14"/>
        <v>15</v>
      </c>
    </row>
    <row r="347" spans="1:12" x14ac:dyDescent="0.3">
      <c r="A347" s="2" t="s">
        <v>33</v>
      </c>
      <c r="B347" s="3" t="str">
        <f>"peso-naoob"&amp;L347</f>
        <v>peso-naoob15</v>
      </c>
      <c r="C347" s="4" t="str">
        <f>"Quantos kilos de ${"&amp;B341&amp;"}?"</f>
        <v>Quantos kilos de ${nome-local15}?</v>
      </c>
      <c r="D347" s="4" t="str">
        <f>"selected(${"&amp;B340&amp;"},'nao-obrigatorio')"</f>
        <v>selected(${p-obr15},'nao-obrigatorio')</v>
      </c>
      <c r="E347"/>
      <c r="L347" s="13">
        <f t="shared" si="14"/>
        <v>15</v>
      </c>
    </row>
    <row r="348" spans="1:12" x14ac:dyDescent="0.3">
      <c r="A348" s="2" t="s">
        <v>136</v>
      </c>
      <c r="B348" s="3" t="str">
        <f>"uso"&amp;L348</f>
        <v>uso15</v>
      </c>
      <c r="C348" s="4" t="str">
        <f>"O ${"&amp;B341&amp;"} é para consumo, venda, salga ou São Pedro?"</f>
        <v>O ${nome-local15} é para consumo, venda, salga ou São Pedro?</v>
      </c>
      <c r="I348" s="4" t="s">
        <v>14</v>
      </c>
      <c r="L348" s="13">
        <f t="shared" si="14"/>
        <v>15</v>
      </c>
    </row>
    <row r="349" spans="1:12" x14ac:dyDescent="0.3">
      <c r="A349" s="35" t="s">
        <v>21</v>
      </c>
      <c r="B349" s="36"/>
      <c r="C349" s="37"/>
      <c r="D349" s="38"/>
      <c r="E349" s="38"/>
      <c r="F349" s="39"/>
      <c r="G349" s="38"/>
      <c r="H349" s="38"/>
      <c r="I349" s="38"/>
      <c r="J349" s="38"/>
      <c r="K349" s="38"/>
      <c r="L349" s="13">
        <f t="shared" si="14"/>
        <v>15</v>
      </c>
    </row>
    <row r="350" spans="1:12" x14ac:dyDescent="0.3">
      <c r="A350" s="35" t="s">
        <v>11</v>
      </c>
      <c r="B350" s="36" t="str">
        <f>"capB"&amp;L350</f>
        <v>capB15</v>
      </c>
      <c r="C350" s="37" t="str">
        <f>"PREÇO DE ${nome-local"&amp;L350&amp;"}"</f>
        <v>PREÇO DE ${nome-local15}</v>
      </c>
      <c r="D350" s="38" t="str">
        <f>"selected(${"&amp;B348&amp;"},'venda')"</f>
        <v>selected(${uso15},'venda')</v>
      </c>
      <c r="E350" s="38" t="s">
        <v>25</v>
      </c>
      <c r="F350" s="39"/>
      <c r="G350" s="38"/>
      <c r="H350" s="38"/>
      <c r="I350" s="38"/>
      <c r="J350" s="38"/>
      <c r="K350" s="38"/>
      <c r="L350" s="13">
        <f t="shared" si="14"/>
        <v>15</v>
      </c>
    </row>
    <row r="351" spans="1:12" x14ac:dyDescent="0.3">
      <c r="A351" s="2" t="s">
        <v>32</v>
      </c>
      <c r="B351" s="3" t="str">
        <f>"apagar-cB"&amp;L351</f>
        <v>apagar-cB15</v>
      </c>
      <c r="C351" s="4" t="str">
        <f>"PREÇO DE ${"&amp;B341&amp;"}"</f>
        <v>PREÇO DE ${nome-local15}</v>
      </c>
      <c r="E351" s="8" t="s">
        <v>132</v>
      </c>
      <c r="F351" s="8" t="str">
        <f>"name =${"&amp;B336&amp;"} or name='espaco'"</f>
        <v>name =${spilha15} or name='espaco'</v>
      </c>
      <c r="L351" s="13">
        <f t="shared" si="14"/>
        <v>15</v>
      </c>
    </row>
    <row r="352" spans="1:12" x14ac:dyDescent="0.3">
      <c r="A352" s="2" t="s">
        <v>4</v>
      </c>
      <c r="B352" s="3" t="str">
        <f>"preco"&amp;L352</f>
        <v>preco15</v>
      </c>
      <c r="C352" s="4" t="str">
        <f>"Preço de ${"&amp;B341&amp;"}? (em DOBRAS)"</f>
        <v>Preço de ${nome-local15}? (em DOBRAS)</v>
      </c>
      <c r="I352" s="4" t="s">
        <v>14</v>
      </c>
      <c r="L352" s="13">
        <f t="shared" si="14"/>
        <v>15</v>
      </c>
    </row>
    <row r="353" spans="1:12" x14ac:dyDescent="0.3">
      <c r="A353" s="2" t="s">
        <v>39</v>
      </c>
      <c r="B353" s="3" t="str">
        <f>"unidade-preco"&amp;L353</f>
        <v>unidade-preco15</v>
      </c>
      <c r="C353" s="4" t="s">
        <v>60</v>
      </c>
      <c r="I353" s="4" t="s">
        <v>14</v>
      </c>
      <c r="L353" s="13">
        <f t="shared" si="14"/>
        <v>15</v>
      </c>
    </row>
    <row r="354" spans="1:12" ht="15" customHeight="1" x14ac:dyDescent="0.3">
      <c r="A354" s="35" t="s">
        <v>21</v>
      </c>
      <c r="B354" s="36"/>
      <c r="C354" s="37"/>
      <c r="D354" s="38"/>
      <c r="E354" s="38"/>
      <c r="F354" s="39"/>
      <c r="G354" s="38"/>
      <c r="H354" s="38"/>
      <c r="I354" s="38"/>
      <c r="J354" s="38"/>
      <c r="K354" s="38"/>
      <c r="L354" s="13">
        <f t="shared" si="14"/>
        <v>15</v>
      </c>
    </row>
    <row r="355" spans="1:12" x14ac:dyDescent="0.3">
      <c r="A355" s="32" t="s">
        <v>21</v>
      </c>
      <c r="B355" s="33"/>
      <c r="C355" s="34"/>
      <c r="D355" s="34"/>
      <c r="E355" s="34"/>
      <c r="F355" s="34"/>
      <c r="G355" s="34"/>
      <c r="H355" s="34"/>
      <c r="I355" s="34"/>
      <c r="J355" s="34"/>
      <c r="K355" s="34"/>
      <c r="L355" s="13">
        <f t="shared" si="14"/>
        <v>15</v>
      </c>
    </row>
    <row r="356" spans="1:12" s="13" customFormat="1" x14ac:dyDescent="0.3">
      <c r="A356" s="9" t="s">
        <v>26</v>
      </c>
      <c r="B356" s="3" t="str">
        <f>"apanhou-peixe"&amp;L356</f>
        <v>apanhou-peixe15</v>
      </c>
      <c r="C356" s="8" t="s">
        <v>1269</v>
      </c>
      <c r="D356" s="4" t="str">
        <f>"selected(${apanhou-peixe"&amp;IF(L356=1,"",L356-1)&amp;"},'sim')"</f>
        <v>selected(${apanhou-peixe14},'sim')</v>
      </c>
      <c r="E356" s="8"/>
      <c r="F356" s="8"/>
      <c r="G356" s="8"/>
      <c r="H356" s="8"/>
      <c r="I356" s="8" t="s">
        <v>14</v>
      </c>
      <c r="J356" s="8"/>
      <c r="K356" s="8"/>
      <c r="L356" s="13">
        <f t="shared" si="14"/>
        <v>15</v>
      </c>
    </row>
    <row r="357" spans="1:12" x14ac:dyDescent="0.3">
      <c r="A357" s="32" t="s">
        <v>11</v>
      </c>
      <c r="B357" s="33" t="str">
        <f>"CAPTURAS"&amp;L358</f>
        <v>CAPTURAS16</v>
      </c>
      <c r="C357" s="34" t="str">
        <f>"${nome-local"&amp;L357&amp;"}"</f>
        <v>${nome-local16}</v>
      </c>
      <c r="D357" s="34" t="str">
        <f>"selected(${apanhou-peixe"&amp;IF(L357=1,"",L357-1)&amp;"},'sim')"</f>
        <v>selected(${apanhou-peixe15},'sim')</v>
      </c>
      <c r="E357" s="34"/>
      <c r="F357" s="34"/>
      <c r="G357" s="34"/>
      <c r="H357" s="34"/>
      <c r="I357" s="34"/>
      <c r="J357" s="34"/>
      <c r="K357" s="34"/>
      <c r="L357" s="13">
        <f>IF(C356="Apanhou mais algum peixe?", L356+1,L356)</f>
        <v>16</v>
      </c>
    </row>
    <row r="358" spans="1:12" x14ac:dyDescent="0.3">
      <c r="A358" s="9" t="s">
        <v>32</v>
      </c>
      <c r="B358" s="3" t="str">
        <f>"spilha"&amp;L358</f>
        <v>spilha16</v>
      </c>
      <c r="C358" s="8" t="s">
        <v>83</v>
      </c>
      <c r="D358" s="8"/>
      <c r="E358" s="8" t="s">
        <v>1000</v>
      </c>
      <c r="F358" s="8" t="s">
        <v>1260</v>
      </c>
      <c r="G358" s="8"/>
      <c r="H358" s="8"/>
      <c r="I358" s="8" t="s">
        <v>14</v>
      </c>
      <c r="L358" s="13">
        <f t="shared" ref="L358:L378" si="15">IF(C357="Apanhou mais algum peixe?", L357+1,L357)</f>
        <v>16</v>
      </c>
    </row>
    <row r="359" spans="1:12" ht="15.6" x14ac:dyDescent="0.3">
      <c r="A359" s="2" t="s">
        <v>3</v>
      </c>
      <c r="B359" s="3" t="str">
        <f>"outro"&amp;L359</f>
        <v>outro16</v>
      </c>
      <c r="C359" s="8" t="s">
        <v>1046</v>
      </c>
      <c r="D359" s="8" t="str">
        <f>"selected(${"&amp;B358&amp;"},'OUTRO-PEIXEprincipe') or selected(${"&amp;B358&amp;"},'OUTRO-PEIXEsaotome')"</f>
        <v>selected(${spilha16},'OUTRO-PEIXEprincipe') or selected(${spilha16},'OUTRO-PEIXEsaotome')</v>
      </c>
      <c r="E359" s="16"/>
      <c r="L359" s="13">
        <f t="shared" si="15"/>
        <v>16</v>
      </c>
    </row>
    <row r="360" spans="1:12" ht="15.6" x14ac:dyDescent="0.3">
      <c r="A360" s="2" t="s">
        <v>84</v>
      </c>
      <c r="B360" s="3" t="str">
        <f>"fotografia"&amp;L360</f>
        <v>fotografia16</v>
      </c>
      <c r="C360" s="8" t="s">
        <v>1417</v>
      </c>
      <c r="D360" s="8" t="str">
        <f>"selected(${"&amp;B358&amp;"},'OUTRO-PEIXEprincipe') or selected(${"&amp;B358&amp;"},'OUTRO-PEIXEsaotome')"</f>
        <v>selected(${spilha16},'OUTRO-PEIXEprincipe') or selected(${spilha16},'OUTRO-PEIXEsaotome')</v>
      </c>
      <c r="E360" s="16"/>
      <c r="L360" s="13">
        <f t="shared" si="15"/>
        <v>16</v>
      </c>
    </row>
    <row r="361" spans="1:12" ht="15.6" x14ac:dyDescent="0.3">
      <c r="A361" s="2" t="s">
        <v>195</v>
      </c>
      <c r="B361" s="3" t="str">
        <f>"n-obr"&amp;L361</f>
        <v>n-obr16</v>
      </c>
      <c r="C361" s="8"/>
      <c r="D361" s="8"/>
      <c r="E361" s="16"/>
      <c r="J361" s="31" t="str">
        <f>"instance('especies')/root/item[name    =    ${"&amp;B358&amp;"} ]/numero"</f>
        <v>instance('especies')/root/item[name    =    ${spilha16} ]/numero</v>
      </c>
      <c r="K361" s="31"/>
      <c r="L361" s="13">
        <f t="shared" si="15"/>
        <v>16</v>
      </c>
    </row>
    <row r="362" spans="1:12" ht="15.6" x14ac:dyDescent="0.3">
      <c r="A362" s="2" t="s">
        <v>195</v>
      </c>
      <c r="B362" s="3" t="str">
        <f>"p-obr"&amp;L362</f>
        <v>p-obr16</v>
      </c>
      <c r="C362" s="8"/>
      <c r="D362" s="8"/>
      <c r="E362" s="16"/>
      <c r="J362" s="31" t="str">
        <f>"instance('especies')/root/item[name    =    ${"&amp;B358&amp;"} ]/peso"</f>
        <v>instance('especies')/root/item[name    =    ${spilha16} ]/peso</v>
      </c>
      <c r="K362" s="31"/>
      <c r="L362" s="13">
        <f t="shared" si="15"/>
        <v>16</v>
      </c>
    </row>
    <row r="363" spans="1:12" ht="15.6" x14ac:dyDescent="0.3">
      <c r="A363" s="2" t="s">
        <v>195</v>
      </c>
      <c r="B363" s="3" t="str">
        <f>"nome-local"&amp;L363</f>
        <v>nome-local16</v>
      </c>
      <c r="E363" s="16"/>
      <c r="J363" s="4" t="str">
        <f>"if(${"&amp;B358&amp;"} = 'OUTRO-PEIXEprincipe' or ${"&amp;B358&amp;"} = 'OUTRO-PEIXEsaotome' ,       ${"&amp;B359&amp;"},        instance('especies')/root/item[name    =    ${"&amp;B358&amp;"} ]/nomelocal)"</f>
        <v>if(${spilha16} = 'OUTRO-PEIXEprincipe' or ${spilha16} = 'OUTRO-PEIXEsaotome' ,       ${outro16},        instance('especies')/root/item[name    =    ${spilha16} ]/nomelocal)</v>
      </c>
      <c r="L363" s="13">
        <f t="shared" si="15"/>
        <v>16</v>
      </c>
    </row>
    <row r="364" spans="1:12" x14ac:dyDescent="0.3">
      <c r="A364" s="35" t="s">
        <v>11</v>
      </c>
      <c r="B364" s="36" t="str">
        <f>"capA"&amp;L364</f>
        <v>capA16</v>
      </c>
      <c r="C364" s="37" t="str">
        <f>"PESO DE ${nome-local"&amp;L364&amp;"}"</f>
        <v>PESO DE ${nome-local16}</v>
      </c>
      <c r="D364" s="38" t="str">
        <f>"not(selected(${spilha"&amp;L364&amp;"},''))"</f>
        <v>not(selected(${spilha16},''))</v>
      </c>
      <c r="E364" s="38" t="s">
        <v>25</v>
      </c>
      <c r="F364" s="39"/>
      <c r="G364" s="38"/>
      <c r="H364" s="38"/>
      <c r="I364" s="38"/>
      <c r="J364" s="38"/>
      <c r="K364" s="38"/>
      <c r="L364" s="13">
        <f t="shared" si="15"/>
        <v>16</v>
      </c>
    </row>
    <row r="365" spans="1:12" x14ac:dyDescent="0.3">
      <c r="A365" s="2" t="s">
        <v>32</v>
      </c>
      <c r="B365" s="3" t="str">
        <f>"apagar-cA"&amp;L365</f>
        <v>apagar-cA16</v>
      </c>
      <c r="C365" s="4" t="str">
        <f>"${"&amp;B363&amp;"}"</f>
        <v>${nome-local16}</v>
      </c>
      <c r="E365" s="8" t="s">
        <v>132</v>
      </c>
      <c r="F365" s="8" t="str">
        <f>"name =${"&amp;B358&amp;"} or name='espaco'"</f>
        <v>name =${spilha16} or name='espaco'</v>
      </c>
      <c r="L365" s="13">
        <f t="shared" si="15"/>
        <v>16</v>
      </c>
    </row>
    <row r="366" spans="1:12" x14ac:dyDescent="0.3">
      <c r="A366" s="2" t="s">
        <v>4</v>
      </c>
      <c r="B366" s="3" t="str">
        <f>"numero-ob"&amp;L366</f>
        <v>numero-ob16</v>
      </c>
      <c r="C366" s="4" t="str">
        <f>"Numero de peixes de ${"&amp;B363&amp;"}?"</f>
        <v>Numero de peixes de ${nome-local16}?</v>
      </c>
      <c r="D366" s="4" t="str">
        <f>"selected(${"&amp;B361&amp;"},'obrigatorio')"</f>
        <v>selected(${n-obr16},'obrigatorio')</v>
      </c>
      <c r="I366" s="4" t="s">
        <v>14</v>
      </c>
      <c r="J366" s="26"/>
      <c r="K366" s="26"/>
      <c r="L366" s="13">
        <f t="shared" si="15"/>
        <v>16</v>
      </c>
    </row>
    <row r="367" spans="1:12" x14ac:dyDescent="0.3">
      <c r="A367" s="2" t="s">
        <v>4</v>
      </c>
      <c r="B367" s="3" t="str">
        <f>"numero-naoob"&amp;L367</f>
        <v>numero-naoob16</v>
      </c>
      <c r="C367" s="4" t="str">
        <f>"Numero de peixes de ${"&amp;B363&amp;"}?"</f>
        <v>Numero de peixes de ${nome-local16}?</v>
      </c>
      <c r="D367" s="4" t="str">
        <f>"selected(${"&amp;B361&amp;"},'nao-obrigatorio')"</f>
        <v>selected(${n-obr16},'nao-obrigatorio')</v>
      </c>
      <c r="J367" s="26"/>
      <c r="K367" s="26"/>
      <c r="L367" s="13">
        <f t="shared" si="15"/>
        <v>16</v>
      </c>
    </row>
    <row r="368" spans="1:12" x14ac:dyDescent="0.3">
      <c r="A368" s="2" t="s">
        <v>33</v>
      </c>
      <c r="B368" s="3" t="str">
        <f>"peso-ob"&amp;L368</f>
        <v>peso-ob16</v>
      </c>
      <c r="C368" s="4" t="str">
        <f>"Quantos kilos de ${"&amp;B363&amp;"}?"</f>
        <v>Quantos kilos de ${nome-local16}?</v>
      </c>
      <c r="D368" s="4" t="str">
        <f>"selected(${"&amp;B362&amp;"},'obrigatorio')"</f>
        <v>selected(${p-obr16},'obrigatorio')</v>
      </c>
      <c r="I368" s="4" t="s">
        <v>14</v>
      </c>
      <c r="L368" s="13">
        <f t="shared" si="15"/>
        <v>16</v>
      </c>
    </row>
    <row r="369" spans="1:12" x14ac:dyDescent="0.3">
      <c r="A369" s="2" t="s">
        <v>33</v>
      </c>
      <c r="B369" s="3" t="str">
        <f>"peso-naoob"&amp;L369</f>
        <v>peso-naoob16</v>
      </c>
      <c r="C369" s="4" t="str">
        <f>"Quantos kilos de ${"&amp;B363&amp;"}?"</f>
        <v>Quantos kilos de ${nome-local16}?</v>
      </c>
      <c r="D369" s="4" t="str">
        <f>"selected(${"&amp;B362&amp;"},'nao-obrigatorio')"</f>
        <v>selected(${p-obr16},'nao-obrigatorio')</v>
      </c>
      <c r="E369"/>
      <c r="L369" s="13">
        <f t="shared" si="15"/>
        <v>16</v>
      </c>
    </row>
    <row r="370" spans="1:12" x14ac:dyDescent="0.3">
      <c r="A370" s="2" t="s">
        <v>136</v>
      </c>
      <c r="B370" s="3" t="str">
        <f>"uso"&amp;L370</f>
        <v>uso16</v>
      </c>
      <c r="C370" s="4" t="str">
        <f>"O ${"&amp;B363&amp;"} é para consumo, venda, salga ou São Pedro?"</f>
        <v>O ${nome-local16} é para consumo, venda, salga ou São Pedro?</v>
      </c>
      <c r="I370" s="4" t="s">
        <v>14</v>
      </c>
      <c r="L370" s="13">
        <f t="shared" si="15"/>
        <v>16</v>
      </c>
    </row>
    <row r="371" spans="1:12" x14ac:dyDescent="0.3">
      <c r="A371" s="35" t="s">
        <v>21</v>
      </c>
      <c r="B371" s="36"/>
      <c r="C371" s="37"/>
      <c r="D371" s="38"/>
      <c r="E371" s="38"/>
      <c r="F371" s="39"/>
      <c r="G371" s="38"/>
      <c r="H371" s="38"/>
      <c r="I371" s="38"/>
      <c r="J371" s="38"/>
      <c r="K371" s="38"/>
      <c r="L371" s="13">
        <f t="shared" si="15"/>
        <v>16</v>
      </c>
    </row>
    <row r="372" spans="1:12" x14ac:dyDescent="0.3">
      <c r="A372" s="35" t="s">
        <v>11</v>
      </c>
      <c r="B372" s="36" t="str">
        <f>"capB"&amp;L372</f>
        <v>capB16</v>
      </c>
      <c r="C372" s="37" t="str">
        <f>"PREÇO DE ${nome-local"&amp;L372&amp;"}"</f>
        <v>PREÇO DE ${nome-local16}</v>
      </c>
      <c r="D372" s="38" t="str">
        <f>"selected(${"&amp;B370&amp;"},'venda')"</f>
        <v>selected(${uso16},'venda')</v>
      </c>
      <c r="E372" s="38" t="s">
        <v>25</v>
      </c>
      <c r="F372" s="39"/>
      <c r="G372" s="38"/>
      <c r="H372" s="38"/>
      <c r="I372" s="38"/>
      <c r="J372" s="38"/>
      <c r="K372" s="38"/>
      <c r="L372" s="13">
        <f t="shared" si="15"/>
        <v>16</v>
      </c>
    </row>
    <row r="373" spans="1:12" x14ac:dyDescent="0.3">
      <c r="A373" s="2" t="s">
        <v>32</v>
      </c>
      <c r="B373" s="3" t="str">
        <f>"apagar-cB"&amp;L373</f>
        <v>apagar-cB16</v>
      </c>
      <c r="C373" s="4" t="str">
        <f>"PREÇO DE ${"&amp;B363&amp;"}"</f>
        <v>PREÇO DE ${nome-local16}</v>
      </c>
      <c r="E373" s="8" t="s">
        <v>132</v>
      </c>
      <c r="F373" s="8" t="str">
        <f>"name =${"&amp;B358&amp;"} or name='espaco'"</f>
        <v>name =${spilha16} or name='espaco'</v>
      </c>
      <c r="L373" s="13">
        <f t="shared" si="15"/>
        <v>16</v>
      </c>
    </row>
    <row r="374" spans="1:12" x14ac:dyDescent="0.3">
      <c r="A374" s="2" t="s">
        <v>4</v>
      </c>
      <c r="B374" s="3" t="str">
        <f>"preco"&amp;L374</f>
        <v>preco16</v>
      </c>
      <c r="C374" s="4" t="str">
        <f>"Preço de ${"&amp;B363&amp;"}? (em DOBRAS)"</f>
        <v>Preço de ${nome-local16}? (em DOBRAS)</v>
      </c>
      <c r="I374" s="4" t="s">
        <v>14</v>
      </c>
      <c r="L374" s="13">
        <f t="shared" si="15"/>
        <v>16</v>
      </c>
    </row>
    <row r="375" spans="1:12" x14ac:dyDescent="0.3">
      <c r="A375" s="2" t="s">
        <v>39</v>
      </c>
      <c r="B375" s="3" t="str">
        <f>"unidade-preco"&amp;L375</f>
        <v>unidade-preco16</v>
      </c>
      <c r="C375" s="4" t="s">
        <v>60</v>
      </c>
      <c r="I375" s="4" t="s">
        <v>14</v>
      </c>
      <c r="L375" s="13">
        <f t="shared" si="15"/>
        <v>16</v>
      </c>
    </row>
    <row r="376" spans="1:12" ht="15" customHeight="1" x14ac:dyDescent="0.3">
      <c r="A376" s="35" t="s">
        <v>21</v>
      </c>
      <c r="B376" s="36"/>
      <c r="C376" s="37"/>
      <c r="D376" s="38"/>
      <c r="E376" s="38"/>
      <c r="F376" s="39"/>
      <c r="G376" s="38"/>
      <c r="H376" s="38"/>
      <c r="I376" s="38"/>
      <c r="J376" s="38"/>
      <c r="K376" s="38"/>
      <c r="L376" s="13">
        <f t="shared" si="15"/>
        <v>16</v>
      </c>
    </row>
    <row r="377" spans="1:12" x14ac:dyDescent="0.3">
      <c r="A377" s="32" t="s">
        <v>21</v>
      </c>
      <c r="B377" s="33"/>
      <c r="C377" s="34"/>
      <c r="D377" s="34"/>
      <c r="E377" s="34"/>
      <c r="F377" s="34"/>
      <c r="G377" s="34"/>
      <c r="H377" s="34"/>
      <c r="I377" s="34"/>
      <c r="J377" s="34"/>
      <c r="K377" s="34"/>
      <c r="L377" s="13">
        <f t="shared" si="15"/>
        <v>16</v>
      </c>
    </row>
    <row r="378" spans="1:12" s="13" customFormat="1" x14ac:dyDescent="0.3">
      <c r="A378" s="9" t="s">
        <v>26</v>
      </c>
      <c r="B378" s="3" t="str">
        <f>"apanhou-peixe"&amp;L378</f>
        <v>apanhou-peixe16</v>
      </c>
      <c r="C378" s="8" t="s">
        <v>1269</v>
      </c>
      <c r="D378" s="4" t="str">
        <f>"selected(${apanhou-peixe"&amp;IF(L378=1,"",L378-1)&amp;"},'sim')"</f>
        <v>selected(${apanhou-peixe15},'sim')</v>
      </c>
      <c r="E378" s="8"/>
      <c r="F378" s="8"/>
      <c r="G378" s="8"/>
      <c r="H378" s="8"/>
      <c r="I378" s="8" t="s">
        <v>14</v>
      </c>
      <c r="J378" s="8"/>
      <c r="K378" s="8"/>
      <c r="L378" s="13">
        <f t="shared" si="15"/>
        <v>16</v>
      </c>
    </row>
    <row r="379" spans="1:12" s="13" customFormat="1" x14ac:dyDescent="0.3">
      <c r="A379" s="9" t="s">
        <v>3</v>
      </c>
      <c r="B379" s="10" t="s">
        <v>430</v>
      </c>
      <c r="C379" s="4" t="s">
        <v>998</v>
      </c>
      <c r="D379" s="8"/>
      <c r="E379" s="8"/>
      <c r="F379" s="8"/>
      <c r="G379" s="8"/>
      <c r="H379" s="8"/>
      <c r="I379" s="8"/>
      <c r="J379" s="8"/>
      <c r="K379" s="8"/>
    </row>
    <row r="380" spans="1:12" x14ac:dyDescent="0.3">
      <c r="A380" s="2" t="s">
        <v>195</v>
      </c>
      <c r="B380" s="3" t="s">
        <v>1439</v>
      </c>
      <c r="J380" s="4" t="s">
        <v>1440</v>
      </c>
    </row>
    <row r="381" spans="1:12" x14ac:dyDescent="0.3">
      <c r="A381" s="5" t="s">
        <v>233</v>
      </c>
      <c r="B381" s="6" t="str">
        <f>"CAPTURAS"&amp;L381</f>
        <v>CAPTURAS</v>
      </c>
      <c r="C381" s="7"/>
      <c r="D381" s="7"/>
      <c r="E381" s="7"/>
      <c r="F381" s="7"/>
      <c r="G381" s="7"/>
      <c r="H381" s="7"/>
      <c r="I381" s="7"/>
      <c r="J381" s="7"/>
      <c r="K381" s="7" t="s">
        <v>1448</v>
      </c>
      <c r="L381" s="13"/>
    </row>
    <row r="382" spans="1:12" ht="244.8" x14ac:dyDescent="0.3">
      <c r="A382" s="2" t="s">
        <v>195</v>
      </c>
      <c r="B382" s="3" t="s">
        <v>549</v>
      </c>
      <c r="C382" s="8"/>
      <c r="D382" s="8"/>
      <c r="E382" s="8"/>
      <c r="G382" s="8"/>
      <c r="H382" s="8"/>
      <c r="I382" s="8"/>
      <c r="J382" s="26" t="s">
        <v>1452</v>
      </c>
      <c r="L382" s="13"/>
    </row>
    <row r="383" spans="1:12" x14ac:dyDescent="0.3">
      <c r="A383" s="2" t="s">
        <v>195</v>
      </c>
      <c r="B383" s="3" t="s">
        <v>230</v>
      </c>
      <c r="C383" s="8"/>
      <c r="D383" s="8"/>
      <c r="E383" s="8"/>
      <c r="G383" s="8"/>
      <c r="H383" s="8"/>
      <c r="I383" s="8"/>
      <c r="J383" s="31" t="s">
        <v>1449</v>
      </c>
      <c r="L383" s="13"/>
    </row>
    <row r="384" spans="1:12" x14ac:dyDescent="0.3">
      <c r="A384" s="2" t="s">
        <v>195</v>
      </c>
      <c r="B384" s="3" t="s">
        <v>810</v>
      </c>
      <c r="C384" s="8"/>
      <c r="D384" s="8"/>
      <c r="E384" s="8"/>
      <c r="G384" s="8"/>
      <c r="H384" s="8"/>
      <c r="I384" s="8"/>
      <c r="J384" s="31" t="s">
        <v>1450</v>
      </c>
      <c r="L384" s="13"/>
    </row>
    <row r="385" spans="1:12" x14ac:dyDescent="0.3">
      <c r="A385" s="2" t="s">
        <v>195</v>
      </c>
      <c r="B385" s="3" t="s">
        <v>1507</v>
      </c>
      <c r="C385" s="8"/>
      <c r="D385" s="8"/>
      <c r="E385" s="8"/>
      <c r="G385" s="8"/>
      <c r="H385" s="8"/>
      <c r="I385" s="8"/>
      <c r="J385" s="4" t="s">
        <v>1451</v>
      </c>
      <c r="L385" s="13"/>
    </row>
    <row r="386" spans="1:12" x14ac:dyDescent="0.3">
      <c r="A386" s="2" t="s">
        <v>195</v>
      </c>
      <c r="B386" s="3" t="s">
        <v>445</v>
      </c>
      <c r="C386" s="8"/>
      <c r="D386" s="8"/>
      <c r="E386" s="8"/>
      <c r="G386" s="8"/>
      <c r="H386" s="8"/>
      <c r="I386" s="8"/>
      <c r="J386" s="4" t="s">
        <v>1508</v>
      </c>
      <c r="L386" s="13"/>
    </row>
    <row r="387" spans="1:12" ht="244.8" x14ac:dyDescent="0.3">
      <c r="A387" s="2" t="s">
        <v>195</v>
      </c>
      <c r="B387" s="3" t="s">
        <v>1514</v>
      </c>
      <c r="C387" s="8"/>
      <c r="D387" s="8"/>
      <c r="E387" s="8"/>
      <c r="G387" s="8"/>
      <c r="H387" s="8"/>
      <c r="I387" s="8"/>
      <c r="J387" s="26" t="s">
        <v>1515</v>
      </c>
      <c r="L387" s="13"/>
    </row>
    <row r="388" spans="1:12" x14ac:dyDescent="0.3">
      <c r="A388" s="2" t="s">
        <v>195</v>
      </c>
      <c r="B388" s="3" t="str">
        <f>"n-obr"&amp;L388</f>
        <v>n-obr</v>
      </c>
      <c r="C388" s="8"/>
      <c r="D388" s="8"/>
      <c r="E388" s="8"/>
      <c r="G388" s="8"/>
      <c r="H388" s="8"/>
      <c r="J388" s="31" t="str">
        <f>"instance('especies')/root/item[name    =    ${"&amp;B382&amp;"} ]/numero"</f>
        <v>instance('especies')/root/item[name    =    ${spilha} ]/numero</v>
      </c>
      <c r="L388" s="13"/>
    </row>
    <row r="389" spans="1:12" x14ac:dyDescent="0.3">
      <c r="A389" s="2" t="s">
        <v>195</v>
      </c>
      <c r="B389" s="3" t="str">
        <f>"p-obr"&amp;L389</f>
        <v>p-obr</v>
      </c>
      <c r="C389" s="8"/>
      <c r="D389" s="8"/>
      <c r="E389" s="8"/>
      <c r="G389" s="8"/>
      <c r="H389" s="8"/>
      <c r="J389" s="31" t="str">
        <f>"instance('especies')/root/item[name    =    ${"&amp;B382&amp;"} ]/peso"</f>
        <v>instance('especies')/root/item[name    =    ${spilha} ]/peso</v>
      </c>
      <c r="L389" s="13"/>
    </row>
    <row r="390" spans="1:12" x14ac:dyDescent="0.3">
      <c r="A390" s="2" t="s">
        <v>195</v>
      </c>
      <c r="B390" s="3" t="s">
        <v>238</v>
      </c>
      <c r="C390" s="8"/>
      <c r="D390" s="8"/>
      <c r="E390" s="8"/>
      <c r="G390" s="8"/>
      <c r="H390" s="8"/>
      <c r="I390" s="8"/>
      <c r="J390" s="4" t="s">
        <v>1453</v>
      </c>
      <c r="L390" s="13"/>
    </row>
    <row r="391" spans="1:12" x14ac:dyDescent="0.3">
      <c r="A391" s="2" t="s">
        <v>195</v>
      </c>
      <c r="B391" s="3" t="s">
        <v>237</v>
      </c>
      <c r="C391" s="8"/>
      <c r="D391" s="8"/>
      <c r="E391" s="8"/>
      <c r="G391" s="8"/>
      <c r="H391" s="8"/>
      <c r="I391" s="8"/>
      <c r="J391" s="4" t="s">
        <v>1454</v>
      </c>
      <c r="L391" s="13"/>
    </row>
    <row r="392" spans="1:12" x14ac:dyDescent="0.3">
      <c r="A392" s="2" t="s">
        <v>195</v>
      </c>
      <c r="B392" s="3" t="s">
        <v>137</v>
      </c>
      <c r="C392" t="str">
        <f>B392&amp;IF(COUNTIF(B:B,B392)&gt;1," "&amp;COUNTIF(B$1:B392,B392),"")</f>
        <v>uso</v>
      </c>
      <c r="D392" s="8"/>
      <c r="E392" s="8"/>
      <c r="G392" s="8"/>
      <c r="H392" s="8"/>
      <c r="I392" s="8"/>
      <c r="J392" s="4" t="s">
        <v>1455</v>
      </c>
      <c r="L392" s="13"/>
    </row>
    <row r="393" spans="1:12" x14ac:dyDescent="0.3">
      <c r="A393" s="2" t="s">
        <v>195</v>
      </c>
      <c r="B393" s="3" t="s">
        <v>239</v>
      </c>
      <c r="C393" s="8"/>
      <c r="D393" s="8"/>
      <c r="E393" s="8"/>
      <c r="G393" s="8"/>
      <c r="H393" s="8"/>
      <c r="I393" s="8"/>
      <c r="J393" s="4" t="s">
        <v>1456</v>
      </c>
      <c r="L393" s="13"/>
    </row>
    <row r="394" spans="1:12" x14ac:dyDescent="0.3">
      <c r="A394" s="2" t="s">
        <v>195</v>
      </c>
      <c r="B394" s="3" t="s">
        <v>244</v>
      </c>
      <c r="C394" s="8"/>
      <c r="D394" s="8"/>
      <c r="E394" s="8"/>
      <c r="G394" s="8"/>
      <c r="H394" s="8"/>
      <c r="I394" s="8"/>
      <c r="J394" s="4" t="s">
        <v>1457</v>
      </c>
      <c r="L394" s="13"/>
    </row>
    <row r="395" spans="1:12" x14ac:dyDescent="0.3">
      <c r="A395" s="5" t="s">
        <v>240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13"/>
    </row>
    <row r="396" spans="1:12" x14ac:dyDescent="0.3">
      <c r="A396" s="17" t="s">
        <v>11</v>
      </c>
      <c r="B396" s="18" t="s">
        <v>1441</v>
      </c>
      <c r="C396" s="18" t="s">
        <v>1264</v>
      </c>
      <c r="D396" s="14"/>
      <c r="E396" s="14" t="s">
        <v>25</v>
      </c>
      <c r="F396" s="19"/>
      <c r="G396" s="14"/>
      <c r="H396" s="14"/>
      <c r="I396" s="14"/>
      <c r="J396" s="14"/>
      <c r="K396" s="14"/>
    </row>
    <row r="397" spans="1:12" x14ac:dyDescent="0.3">
      <c r="A397" s="2" t="s">
        <v>17</v>
      </c>
      <c r="B397" s="3" t="s">
        <v>23</v>
      </c>
      <c r="C397" s="4" t="s">
        <v>59</v>
      </c>
      <c r="I397" s="4" t="s">
        <v>14</v>
      </c>
    </row>
    <row r="398" spans="1:12" x14ac:dyDescent="0.3">
      <c r="A398" s="2" t="s">
        <v>9</v>
      </c>
      <c r="B398" s="3" t="s">
        <v>431</v>
      </c>
      <c r="C398" s="4" t="s">
        <v>442</v>
      </c>
      <c r="G398" s="8" t="s">
        <v>1228</v>
      </c>
      <c r="I398" s="4" t="s">
        <v>14</v>
      </c>
    </row>
    <row r="399" spans="1:12" x14ac:dyDescent="0.3">
      <c r="A399" s="17" t="s">
        <v>21</v>
      </c>
      <c r="B399" s="18"/>
      <c r="C399" s="14"/>
      <c r="D399" s="14"/>
      <c r="E399" s="14"/>
      <c r="F399" s="19"/>
      <c r="G399" s="14"/>
      <c r="H399" s="14"/>
      <c r="I399" s="14"/>
      <c r="J399" s="14"/>
      <c r="K399" s="14"/>
    </row>
    <row r="400" spans="1:12" x14ac:dyDescent="0.3">
      <c r="A400" s="2" t="s">
        <v>1061</v>
      </c>
      <c r="B400" s="3" t="s">
        <v>245</v>
      </c>
      <c r="C400" s="4" t="s">
        <v>1265</v>
      </c>
      <c r="D400" s="4" t="s">
        <v>1418</v>
      </c>
      <c r="I400" s="4" t="s">
        <v>14</v>
      </c>
    </row>
    <row r="401" spans="1:11" x14ac:dyDescent="0.3">
      <c r="A401" s="17" t="s">
        <v>11</v>
      </c>
      <c r="B401" s="18" t="s">
        <v>20</v>
      </c>
      <c r="C401" s="18" t="s">
        <v>1239</v>
      </c>
      <c r="D401" s="14"/>
      <c r="E401" s="14" t="s">
        <v>25</v>
      </c>
      <c r="F401" s="19"/>
      <c r="G401" s="14"/>
      <c r="H401" s="14"/>
      <c r="I401" s="14"/>
      <c r="J401" s="14"/>
      <c r="K401" s="14"/>
    </row>
    <row r="402" spans="1:11" x14ac:dyDescent="0.3">
      <c r="A402" s="2" t="s">
        <v>33</v>
      </c>
      <c r="B402" s="3" t="s">
        <v>1464</v>
      </c>
      <c r="C402" s="4" t="s">
        <v>1237</v>
      </c>
      <c r="D402" s="4" t="s">
        <v>1233</v>
      </c>
      <c r="I402" s="4" t="s">
        <v>14</v>
      </c>
    </row>
    <row r="403" spans="1:11" x14ac:dyDescent="0.3">
      <c r="A403" s="2" t="s">
        <v>195</v>
      </c>
      <c r="B403" s="3" t="str">
        <f>LEFT(B402,LEN(B402)-7)</f>
        <v>gasolina</v>
      </c>
      <c r="J403" s="4" t="str">
        <f>"if("&amp;D402&amp;", ${"&amp;B402&amp;"}, 0)"</f>
        <v>if(selected(${tipo-combustivel},'gasolina'), ${gasolina-apagar}, 0)</v>
      </c>
    </row>
    <row r="404" spans="1:11" x14ac:dyDescent="0.3">
      <c r="A404" s="2" t="s">
        <v>33</v>
      </c>
      <c r="B404" s="3" t="s">
        <v>1465</v>
      </c>
      <c r="C404" s="4" t="s">
        <v>1238</v>
      </c>
      <c r="D404" s="4" t="s">
        <v>1234</v>
      </c>
      <c r="I404" s="4" t="s">
        <v>14</v>
      </c>
    </row>
    <row r="405" spans="1:11" x14ac:dyDescent="0.3">
      <c r="A405" s="2" t="s">
        <v>195</v>
      </c>
      <c r="B405" s="3" t="str">
        <f>LEFT(B404,LEN(B404)-7)</f>
        <v>petroleo</v>
      </c>
      <c r="J405" s="4" t="str">
        <f>"if("&amp;D404&amp;", ${"&amp;B404&amp;"}, 0)"</f>
        <v>if(selected(${tipo-combustivel},'petroleo'), ${petroleo-apagar}, 0)</v>
      </c>
    </row>
    <row r="406" spans="1:11" x14ac:dyDescent="0.3">
      <c r="A406" s="2" t="s">
        <v>33</v>
      </c>
      <c r="B406" s="3" t="s">
        <v>1466</v>
      </c>
      <c r="C406" s="4" t="s">
        <v>1413</v>
      </c>
      <c r="D406" s="4" t="s">
        <v>1414</v>
      </c>
      <c r="I406" s="4" t="s">
        <v>14</v>
      </c>
    </row>
    <row r="407" spans="1:11" x14ac:dyDescent="0.3">
      <c r="A407" s="2" t="s">
        <v>195</v>
      </c>
      <c r="B407" s="3" t="str">
        <f>LEFT(B406,LEN(B406)-7)</f>
        <v>gasoleo</v>
      </c>
      <c r="J407" s="4" t="str">
        <f>"if("&amp;D406&amp;", ${"&amp;B406&amp;"}, 0)"</f>
        <v>if(selected(${tipo-combustivel},'gasoleo'), ${gasoleo-apagar}, 0)</v>
      </c>
    </row>
    <row r="408" spans="1:11" x14ac:dyDescent="0.3">
      <c r="A408" s="2" t="s">
        <v>33</v>
      </c>
      <c r="B408" s="28" t="s">
        <v>1467</v>
      </c>
      <c r="C408" s="4" t="s">
        <v>1257</v>
      </c>
      <c r="D408" s="4" t="s">
        <v>1259</v>
      </c>
      <c r="I408" s="4" t="s">
        <v>14</v>
      </c>
    </row>
    <row r="409" spans="1:11" x14ac:dyDescent="0.3">
      <c r="A409" s="2" t="s">
        <v>195</v>
      </c>
      <c r="B409" s="3" t="str">
        <f>LEFT(B408,LEN(B408)-7)</f>
        <v>oleo-motor</v>
      </c>
      <c r="J409" s="4" t="s">
        <v>1468</v>
      </c>
    </row>
    <row r="410" spans="1:11" x14ac:dyDescent="0.3">
      <c r="A410" s="17" t="s">
        <v>21</v>
      </c>
      <c r="B410" s="18"/>
      <c r="C410" s="14"/>
      <c r="D410" s="14"/>
      <c r="E410" s="14"/>
      <c r="F410" s="19"/>
      <c r="G410" s="14"/>
      <c r="H410" s="14"/>
      <c r="I410" s="14"/>
      <c r="J410" s="14"/>
      <c r="K410" s="14"/>
    </row>
    <row r="411" spans="1:11" x14ac:dyDescent="0.3">
      <c r="A411" s="17" t="s">
        <v>11</v>
      </c>
      <c r="B411" s="18" t="s">
        <v>1236</v>
      </c>
      <c r="C411" s="18" t="s">
        <v>1235</v>
      </c>
      <c r="D411" s="14"/>
      <c r="E411" s="14" t="s">
        <v>25</v>
      </c>
      <c r="F411" s="19"/>
      <c r="G411" s="14"/>
      <c r="H411" s="14"/>
      <c r="I411" s="14"/>
      <c r="J411" s="14"/>
      <c r="K411" s="14"/>
    </row>
    <row r="412" spans="1:11" x14ac:dyDescent="0.3">
      <c r="A412" s="2" t="s">
        <v>33</v>
      </c>
      <c r="B412" s="3" t="s">
        <v>1231</v>
      </c>
      <c r="C412" s="4" t="s">
        <v>1229</v>
      </c>
      <c r="D412" s="4" t="s">
        <v>1233</v>
      </c>
      <c r="I412" s="4" t="s">
        <v>14</v>
      </c>
    </row>
    <row r="413" spans="1:11" x14ac:dyDescent="0.3">
      <c r="A413" s="2" t="s">
        <v>33</v>
      </c>
      <c r="B413" s="3" t="s">
        <v>1232</v>
      </c>
      <c r="C413" s="4" t="s">
        <v>1230</v>
      </c>
      <c r="D413" s="4" t="s">
        <v>1234</v>
      </c>
      <c r="I413" s="4" t="s">
        <v>14</v>
      </c>
    </row>
    <row r="414" spans="1:11" x14ac:dyDescent="0.3">
      <c r="A414" s="2" t="s">
        <v>33</v>
      </c>
      <c r="B414" s="3" t="s">
        <v>1415</v>
      </c>
      <c r="C414" s="4" t="s">
        <v>1416</v>
      </c>
      <c r="D414" s="4" t="s">
        <v>1414</v>
      </c>
      <c r="I414" s="4" t="s">
        <v>14</v>
      </c>
    </row>
    <row r="415" spans="1:11" x14ac:dyDescent="0.3">
      <c r="A415" s="2" t="s">
        <v>33</v>
      </c>
      <c r="B415" s="28" t="s">
        <v>1240</v>
      </c>
      <c r="C415" s="4" t="s">
        <v>1241</v>
      </c>
      <c r="D415" s="4" t="s">
        <v>1242</v>
      </c>
      <c r="I415" s="4" t="s">
        <v>14</v>
      </c>
    </row>
    <row r="416" spans="1:11" x14ac:dyDescent="0.3">
      <c r="A416" s="17" t="s">
        <v>21</v>
      </c>
      <c r="B416" s="18"/>
      <c r="C416" s="14"/>
      <c r="D416" s="14"/>
      <c r="E416" s="14"/>
      <c r="F416" s="19"/>
      <c r="G416" s="14"/>
      <c r="H416" s="14"/>
      <c r="I416" s="14"/>
      <c r="J416" s="14"/>
      <c r="K416" s="14"/>
    </row>
    <row r="417" spans="1:11" x14ac:dyDescent="0.3">
      <c r="A417" s="2" t="s">
        <v>374</v>
      </c>
      <c r="B417" s="3" t="s">
        <v>96</v>
      </c>
      <c r="C417" s="4" t="s">
        <v>375</v>
      </c>
      <c r="I417" s="4" t="s">
        <v>14</v>
      </c>
    </row>
    <row r="418" spans="1:11" x14ac:dyDescent="0.3">
      <c r="A418" s="2" t="s">
        <v>376</v>
      </c>
      <c r="B418" s="20" t="s">
        <v>376</v>
      </c>
      <c r="C418" s="21" t="s">
        <v>377</v>
      </c>
      <c r="D418" s="21"/>
      <c r="E418" s="21"/>
      <c r="F418" s="21"/>
      <c r="G418" s="21"/>
      <c r="H418" s="21"/>
      <c r="I418" s="21"/>
      <c r="J418" s="21"/>
      <c r="K418" s="21"/>
    </row>
    <row r="419" spans="1:11" s="25" customFormat="1" x14ac:dyDescent="0.3">
      <c r="A419" s="27"/>
      <c r="B419" s="28"/>
      <c r="C419" s="26"/>
      <c r="D419" s="26"/>
      <c r="E419" s="26"/>
      <c r="F419" s="24"/>
      <c r="G419" s="26"/>
      <c r="H419" s="26"/>
      <c r="I419" s="26"/>
      <c r="J419" s="26"/>
      <c r="K419" s="26"/>
    </row>
    <row r="420" spans="1:11" s="25" customFormat="1" x14ac:dyDescent="0.3">
      <c r="A420" s="27"/>
      <c r="C420" s="26"/>
      <c r="D420" s="26"/>
      <c r="E420" s="26"/>
      <c r="F420" s="24"/>
      <c r="G420" s="26"/>
      <c r="H420" s="26"/>
      <c r="I420" s="26"/>
      <c r="J420" s="26"/>
      <c r="K420" s="26"/>
    </row>
    <row r="421" spans="1:11" s="25" customFormat="1" x14ac:dyDescent="0.3">
      <c r="A421" s="27"/>
      <c r="B421" s="28"/>
      <c r="C421" s="26"/>
      <c r="D421" s="26"/>
      <c r="E421" s="26"/>
      <c r="F421" s="24"/>
      <c r="G421" s="26"/>
      <c r="H421" s="26"/>
      <c r="I421" s="26"/>
      <c r="J421" s="26"/>
      <c r="K421" s="26"/>
    </row>
    <row r="422" spans="1:11" s="25" customFormat="1" x14ac:dyDescent="0.3">
      <c r="A422" s="27"/>
      <c r="B422" s="28"/>
      <c r="C422" s="26"/>
      <c r="D422" s="26"/>
      <c r="E422" s="26"/>
      <c r="F422" s="24"/>
      <c r="G422" s="26"/>
      <c r="H422" s="26"/>
      <c r="I422" s="26"/>
      <c r="J422" s="26"/>
      <c r="K422" s="26"/>
    </row>
    <row r="423" spans="1:11" s="25" customFormat="1" x14ac:dyDescent="0.3">
      <c r="A423" s="27"/>
      <c r="B423" s="28"/>
      <c r="C423" s="26"/>
      <c r="D423" s="26"/>
      <c r="E423" s="26"/>
      <c r="F423" s="24"/>
      <c r="G423" s="26"/>
      <c r="H423" s="26"/>
      <c r="I423" s="26"/>
      <c r="J423" s="26"/>
      <c r="K423" s="26"/>
    </row>
    <row r="424" spans="1:11" s="25" customFormat="1" x14ac:dyDescent="0.3">
      <c r="A424" s="27"/>
      <c r="B424" s="28"/>
      <c r="C424" s="26"/>
      <c r="D424" s="26"/>
      <c r="E424" s="26"/>
      <c r="F424" s="24"/>
      <c r="G424" s="26"/>
      <c r="H424" s="26"/>
      <c r="I424" s="26"/>
      <c r="J424" s="26"/>
      <c r="K424" s="26"/>
    </row>
    <row r="425" spans="1:11" s="25" customFormat="1" x14ac:dyDescent="0.3">
      <c r="A425" s="27"/>
      <c r="B425" s="28"/>
      <c r="C425" s="26"/>
      <c r="D425" s="26"/>
      <c r="E425" s="26"/>
      <c r="F425" s="24"/>
      <c r="G425" s="26"/>
      <c r="H425" s="26"/>
      <c r="I425" s="26"/>
      <c r="J425" s="26"/>
      <c r="K425" s="26"/>
    </row>
    <row r="426" spans="1:11" s="25" customFormat="1" x14ac:dyDescent="0.3">
      <c r="A426" s="27"/>
      <c r="B426" s="28"/>
      <c r="C426" s="26"/>
      <c r="D426" s="26"/>
      <c r="E426" s="26"/>
      <c r="F426" s="24"/>
      <c r="G426" s="26"/>
      <c r="H426" s="26"/>
      <c r="I426" s="26"/>
      <c r="J426" s="26"/>
      <c r="K426" s="26"/>
    </row>
    <row r="427" spans="1:11" s="25" customFormat="1" x14ac:dyDescent="0.3">
      <c r="A427" s="27"/>
      <c r="B427" s="28"/>
      <c r="C427" s="26"/>
      <c r="D427" s="26"/>
      <c r="E427" s="26"/>
      <c r="F427" s="24"/>
      <c r="G427" s="26"/>
      <c r="H427" s="26"/>
      <c r="I427" s="26"/>
      <c r="J427" s="26"/>
      <c r="K427" s="26"/>
    </row>
    <row r="428" spans="1:11" s="25" customFormat="1" x14ac:dyDescent="0.3">
      <c r="A428" s="27"/>
      <c r="B428" s="28"/>
      <c r="C428" s="26"/>
      <c r="D428" s="26"/>
      <c r="E428" s="26"/>
      <c r="F428" s="24"/>
      <c r="G428" s="26"/>
      <c r="H428" s="26"/>
      <c r="I428" s="26"/>
      <c r="J428" s="26"/>
      <c r="K428" s="26"/>
    </row>
    <row r="429" spans="1:11" s="25" customFormat="1" x14ac:dyDescent="0.3">
      <c r="A429" s="27"/>
      <c r="B429" s="28"/>
      <c r="C429" s="26"/>
      <c r="D429" s="26"/>
      <c r="E429" s="26"/>
      <c r="F429" s="24"/>
      <c r="G429" s="26"/>
      <c r="H429" s="26"/>
      <c r="I429" s="26"/>
      <c r="J429" s="26"/>
      <c r="K429" s="26"/>
    </row>
    <row r="430" spans="1:11" s="25" customFormat="1" x14ac:dyDescent="0.3">
      <c r="A430" s="27"/>
      <c r="B430" s="28"/>
      <c r="C430" s="26"/>
      <c r="D430" s="26"/>
      <c r="E430" s="26"/>
      <c r="F430" s="24"/>
      <c r="G430" s="26"/>
      <c r="H430" s="26"/>
      <c r="I430" s="26"/>
      <c r="J430" s="26"/>
      <c r="K430" s="26"/>
    </row>
    <row r="431" spans="1:11" s="25" customFormat="1" x14ac:dyDescent="0.3">
      <c r="A431" s="27"/>
      <c r="B431" s="28"/>
      <c r="C431" s="26"/>
      <c r="D431" s="26"/>
      <c r="E431" s="26"/>
      <c r="F431" s="24"/>
      <c r="G431" s="26"/>
      <c r="H431" s="26"/>
      <c r="I431" s="26"/>
      <c r="J431" s="26"/>
      <c r="K431" s="26"/>
    </row>
    <row r="432" spans="1:11" s="25" customFormat="1" x14ac:dyDescent="0.3">
      <c r="A432" s="27"/>
      <c r="B432" s="28"/>
      <c r="C432" s="26"/>
      <c r="D432" s="26"/>
      <c r="E432" s="26"/>
      <c r="F432" s="24"/>
      <c r="G432" s="26"/>
      <c r="H432" s="26"/>
      <c r="I432" s="26"/>
      <c r="J432" s="26"/>
      <c r="K432" s="26"/>
    </row>
    <row r="433" spans="1:11" s="25" customFormat="1" x14ac:dyDescent="0.3">
      <c r="A433" s="27"/>
      <c r="B433" s="28"/>
      <c r="C433" s="26"/>
      <c r="D433" s="26"/>
      <c r="E433" s="26"/>
      <c r="F433" s="24"/>
      <c r="G433" s="26"/>
      <c r="H433" s="26"/>
      <c r="I433" s="26"/>
      <c r="J433" s="26"/>
      <c r="K433" s="26"/>
    </row>
    <row r="434" spans="1:11" s="25" customFormat="1" x14ac:dyDescent="0.3">
      <c r="A434" s="27"/>
      <c r="B434" s="28"/>
      <c r="C434" s="26"/>
      <c r="D434" s="26"/>
      <c r="E434" s="26"/>
      <c r="F434" s="24"/>
      <c r="G434" s="26"/>
      <c r="H434" s="26"/>
      <c r="I434" s="26"/>
      <c r="J434" s="26"/>
      <c r="K434" s="26"/>
    </row>
    <row r="435" spans="1:11" s="25" customFormat="1" x14ac:dyDescent="0.3">
      <c r="A435" s="27"/>
      <c r="B435" s="28"/>
      <c r="C435" s="26"/>
      <c r="D435" s="26"/>
      <c r="E435" s="26"/>
      <c r="F435" s="24"/>
      <c r="G435" s="26"/>
      <c r="H435" s="26"/>
      <c r="I435" s="26"/>
      <c r="J435" s="26"/>
      <c r="K435" s="26"/>
    </row>
    <row r="436" spans="1:11" s="25" customFormat="1" x14ac:dyDescent="0.3">
      <c r="A436" s="27"/>
      <c r="B436" s="28"/>
      <c r="C436" s="26"/>
      <c r="D436" s="26"/>
      <c r="E436" s="26"/>
      <c r="F436" s="24"/>
      <c r="G436" s="26"/>
      <c r="H436" s="26"/>
      <c r="I436" s="26"/>
      <c r="J436" s="26"/>
      <c r="K436" s="26"/>
    </row>
    <row r="437" spans="1:11" s="25" customFormat="1" x14ac:dyDescent="0.3">
      <c r="A437" s="27"/>
      <c r="B437" s="28"/>
      <c r="C437" s="26"/>
      <c r="D437" s="26"/>
      <c r="E437" s="26"/>
      <c r="F437" s="24"/>
      <c r="G437" s="26"/>
      <c r="H437" s="26"/>
      <c r="I437" s="26"/>
      <c r="J437" s="26"/>
      <c r="K437" s="26"/>
    </row>
    <row r="438" spans="1:11" s="25" customFormat="1" x14ac:dyDescent="0.3">
      <c r="A438" s="27"/>
      <c r="B438" s="28"/>
      <c r="C438" s="26"/>
      <c r="D438" s="26"/>
      <c r="E438" s="26"/>
      <c r="F438" s="24"/>
      <c r="G438" s="26"/>
      <c r="H438" s="26"/>
      <c r="I438" s="26"/>
      <c r="J438" s="26"/>
      <c r="K438" s="26"/>
    </row>
    <row r="439" spans="1:11" s="25" customFormat="1" x14ac:dyDescent="0.3">
      <c r="A439" s="27"/>
      <c r="B439" s="28"/>
      <c r="C439" s="26"/>
      <c r="D439" s="26"/>
      <c r="E439" s="26"/>
      <c r="F439" s="24"/>
      <c r="G439" s="26"/>
      <c r="H439" s="26"/>
      <c r="I439" s="26"/>
      <c r="J439" s="26"/>
      <c r="K439" s="26"/>
    </row>
    <row r="440" spans="1:11" s="25" customFormat="1" x14ac:dyDescent="0.3">
      <c r="A440" s="27"/>
      <c r="B440" s="28"/>
      <c r="C440" s="26"/>
      <c r="D440" s="26"/>
      <c r="E440" s="26"/>
      <c r="F440" s="24"/>
      <c r="G440" s="26"/>
      <c r="H440" s="26"/>
      <c r="I440" s="26"/>
      <c r="J440" s="26"/>
      <c r="K440" s="26"/>
    </row>
    <row r="441" spans="1:11" s="25" customFormat="1" x14ac:dyDescent="0.3">
      <c r="A441" s="27"/>
      <c r="B441" s="28"/>
      <c r="C441" s="26"/>
      <c r="D441" s="26"/>
      <c r="E441" s="26"/>
      <c r="F441" s="24"/>
      <c r="G441" s="26"/>
      <c r="H441" s="26"/>
      <c r="I441" s="26"/>
      <c r="J441" s="26"/>
      <c r="K441" s="26"/>
    </row>
    <row r="442" spans="1:11" s="25" customFormat="1" x14ac:dyDescent="0.3">
      <c r="A442" s="27"/>
      <c r="B442" s="28"/>
      <c r="C442" s="26"/>
      <c r="D442" s="26"/>
      <c r="E442" s="26"/>
      <c r="F442" s="24"/>
      <c r="G442" s="26"/>
      <c r="H442" s="26"/>
      <c r="I442" s="26"/>
      <c r="J442" s="26"/>
      <c r="K442" s="26"/>
    </row>
    <row r="443" spans="1:11" s="25" customFormat="1" x14ac:dyDescent="0.3">
      <c r="A443" s="27"/>
      <c r="B443" s="28"/>
      <c r="C443" s="26"/>
      <c r="D443" s="26"/>
      <c r="E443" s="26"/>
      <c r="F443" s="24"/>
      <c r="G443" s="26"/>
      <c r="H443" s="26"/>
      <c r="I443" s="26"/>
      <c r="J443" s="26"/>
      <c r="K443" s="26"/>
    </row>
  </sheetData>
  <autoFilter ref="A1:L418" xr:uid="{B0E65C14-9E52-4AB4-911F-10C6EDD60CF9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5"/>
  <sheetViews>
    <sheetView zoomScale="85" zoomScaleNormal="85" workbookViewId="0">
      <pane xSplit="1" ySplit="1" topLeftCell="C400" activePane="bottomRight" state="frozen"/>
      <selection pane="topRight" activeCell="C1" sqref="C1"/>
      <selection pane="bottomLeft" activeCell="A12" sqref="A12"/>
      <selection pane="bottomRight" activeCell="A138" sqref="A138:L435"/>
    </sheetView>
  </sheetViews>
  <sheetFormatPr defaultRowHeight="14.4" x14ac:dyDescent="0.3"/>
  <cols>
    <col min="1" max="1" width="22.109375" bestFit="1" customWidth="1"/>
    <col min="2" max="2" width="27.5546875" bestFit="1" customWidth="1"/>
    <col min="3" max="3" width="36.88671875" customWidth="1"/>
    <col min="4" max="4" width="42.6640625" bestFit="1" customWidth="1"/>
    <col min="5" max="5" width="11" bestFit="1" customWidth="1"/>
    <col min="6" max="6" width="11" customWidth="1"/>
    <col min="7" max="7" width="25.6640625" customWidth="1"/>
    <col min="8" max="8" width="36.44140625" bestFit="1" customWidth="1"/>
    <col min="9" max="12" width="25.6640625" customWidth="1"/>
    <col min="13" max="13" width="28.6640625" customWidth="1"/>
    <col min="14" max="15" width="25.6640625" customWidth="1"/>
  </cols>
  <sheetData>
    <row r="1" spans="1:16" x14ac:dyDescent="0.3">
      <c r="A1" t="s">
        <v>2</v>
      </c>
      <c r="B1" t="s">
        <v>1</v>
      </c>
      <c r="C1" t="s">
        <v>110</v>
      </c>
      <c r="D1" t="s">
        <v>84</v>
      </c>
      <c r="E1" t="s">
        <v>356</v>
      </c>
      <c r="F1" t="s">
        <v>217</v>
      </c>
      <c r="G1" t="s">
        <v>445</v>
      </c>
      <c r="H1" t="s">
        <v>230</v>
      </c>
      <c r="I1" t="s">
        <v>810</v>
      </c>
      <c r="J1" t="s">
        <v>237</v>
      </c>
      <c r="K1" t="s">
        <v>238</v>
      </c>
      <c r="L1" t="s">
        <v>1492</v>
      </c>
      <c r="M1" t="s">
        <v>437</v>
      </c>
      <c r="N1" t="s">
        <v>443</v>
      </c>
      <c r="O1" t="s">
        <v>444</v>
      </c>
      <c r="P1" t="s">
        <v>999</v>
      </c>
    </row>
    <row r="2" spans="1:16" x14ac:dyDescent="0.3">
      <c r="A2" t="s">
        <v>433</v>
      </c>
      <c r="B2" t="s">
        <v>435</v>
      </c>
      <c r="C2" t="s">
        <v>1459</v>
      </c>
    </row>
    <row r="3" spans="1:16" s="1" customFormat="1" ht="15" thickBot="1" x14ac:dyDescent="0.35">
      <c r="A3" s="1" t="s">
        <v>433</v>
      </c>
      <c r="B3" s="1" t="s">
        <v>436</v>
      </c>
      <c r="C3" s="1" t="s">
        <v>1458</v>
      </c>
    </row>
    <row r="4" spans="1:16" x14ac:dyDescent="0.3">
      <c r="A4" t="s">
        <v>27</v>
      </c>
      <c r="B4" t="s">
        <v>28</v>
      </c>
      <c r="C4" t="s">
        <v>30</v>
      </c>
    </row>
    <row r="5" spans="1:16" s="1" customFormat="1" ht="15" thickBot="1" x14ac:dyDescent="0.35">
      <c r="A5" s="1" t="s">
        <v>27</v>
      </c>
      <c r="B5" s="1" t="s">
        <v>29</v>
      </c>
      <c r="C5" s="1" t="s">
        <v>31</v>
      </c>
    </row>
    <row r="6" spans="1:16" x14ac:dyDescent="0.3">
      <c r="A6" t="s">
        <v>217</v>
      </c>
      <c r="B6" t="s">
        <v>219</v>
      </c>
      <c r="C6" t="s">
        <v>221</v>
      </c>
    </row>
    <row r="7" spans="1:16" s="1" customFormat="1" ht="15" thickBot="1" x14ac:dyDescent="0.35">
      <c r="A7" s="1" t="s">
        <v>217</v>
      </c>
      <c r="B7" s="1" t="s">
        <v>220</v>
      </c>
      <c r="C7" s="1" t="s">
        <v>222</v>
      </c>
    </row>
    <row r="8" spans="1:16" x14ac:dyDescent="0.3">
      <c r="A8" t="s">
        <v>356</v>
      </c>
      <c r="B8" t="s">
        <v>258</v>
      </c>
      <c r="C8" t="s">
        <v>360</v>
      </c>
      <c r="F8" t="s">
        <v>220</v>
      </c>
    </row>
    <row r="9" spans="1:16" x14ac:dyDescent="0.3">
      <c r="A9" t="s">
        <v>356</v>
      </c>
      <c r="B9" t="s">
        <v>271</v>
      </c>
      <c r="C9" t="s">
        <v>358</v>
      </c>
      <c r="F9" t="s">
        <v>220</v>
      </c>
    </row>
    <row r="10" spans="1:16" x14ac:dyDescent="0.3">
      <c r="A10" t="s">
        <v>356</v>
      </c>
      <c r="B10" t="s">
        <v>279</v>
      </c>
      <c r="C10" t="s">
        <v>357</v>
      </c>
      <c r="F10" t="s">
        <v>220</v>
      </c>
    </row>
    <row r="11" spans="1:16" x14ac:dyDescent="0.3">
      <c r="A11" t="s">
        <v>356</v>
      </c>
      <c r="B11" t="s">
        <v>290</v>
      </c>
      <c r="C11" t="s">
        <v>362</v>
      </c>
      <c r="F11" t="s">
        <v>220</v>
      </c>
    </row>
    <row r="12" spans="1:16" x14ac:dyDescent="0.3">
      <c r="A12" t="s">
        <v>356</v>
      </c>
      <c r="B12" t="s">
        <v>311</v>
      </c>
      <c r="C12" t="s">
        <v>361</v>
      </c>
      <c r="F12" t="s">
        <v>220</v>
      </c>
    </row>
    <row r="13" spans="1:16" x14ac:dyDescent="0.3">
      <c r="A13" t="s">
        <v>356</v>
      </c>
      <c r="B13" t="s">
        <v>320</v>
      </c>
      <c r="C13" t="s">
        <v>359</v>
      </c>
      <c r="F13" t="s">
        <v>220</v>
      </c>
    </row>
    <row r="14" spans="1:16" s="1" customFormat="1" ht="15" thickBot="1" x14ac:dyDescent="0.35">
      <c r="A14" s="1" t="s">
        <v>356</v>
      </c>
      <c r="B14" s="1" t="s">
        <v>323</v>
      </c>
      <c r="C14" s="1" t="s">
        <v>363</v>
      </c>
      <c r="F14" s="1" t="s">
        <v>219</v>
      </c>
    </row>
    <row r="15" spans="1:16" x14ac:dyDescent="0.3">
      <c r="A15" t="s">
        <v>355</v>
      </c>
      <c r="B15" t="s">
        <v>256</v>
      </c>
      <c r="C15" t="s">
        <v>257</v>
      </c>
      <c r="E15" t="s">
        <v>258</v>
      </c>
      <c r="F15" t="s">
        <v>220</v>
      </c>
    </row>
    <row r="16" spans="1:16" x14ac:dyDescent="0.3">
      <c r="A16" t="s">
        <v>355</v>
      </c>
      <c r="B16" t="s">
        <v>259</v>
      </c>
      <c r="C16" t="s">
        <v>260</v>
      </c>
      <c r="E16" t="s">
        <v>258</v>
      </c>
      <c r="F16" t="s">
        <v>220</v>
      </c>
    </row>
    <row r="17" spans="1:6" x14ac:dyDescent="0.3">
      <c r="A17" t="s">
        <v>355</v>
      </c>
      <c r="B17" t="s">
        <v>261</v>
      </c>
      <c r="C17" t="s">
        <v>262</v>
      </c>
      <c r="E17" t="s">
        <v>258</v>
      </c>
      <c r="F17" t="s">
        <v>220</v>
      </c>
    </row>
    <row r="18" spans="1:6" x14ac:dyDescent="0.3">
      <c r="A18" t="s">
        <v>355</v>
      </c>
      <c r="B18" t="s">
        <v>263</v>
      </c>
      <c r="C18" t="s">
        <v>264</v>
      </c>
      <c r="E18" t="s">
        <v>258</v>
      </c>
      <c r="F18" t="s">
        <v>220</v>
      </c>
    </row>
    <row r="19" spans="1:6" x14ac:dyDescent="0.3">
      <c r="A19" t="s">
        <v>355</v>
      </c>
      <c r="B19" t="s">
        <v>265</v>
      </c>
      <c r="C19" t="s">
        <v>266</v>
      </c>
      <c r="E19" t="s">
        <v>258</v>
      </c>
      <c r="F19" t="s">
        <v>220</v>
      </c>
    </row>
    <row r="20" spans="1:6" x14ac:dyDescent="0.3">
      <c r="A20" t="s">
        <v>355</v>
      </c>
      <c r="B20" t="s">
        <v>267</v>
      </c>
      <c r="C20" t="s">
        <v>268</v>
      </c>
      <c r="E20" t="s">
        <v>258</v>
      </c>
      <c r="F20" t="s">
        <v>220</v>
      </c>
    </row>
    <row r="21" spans="1:6" x14ac:dyDescent="0.3">
      <c r="A21" t="s">
        <v>355</v>
      </c>
      <c r="B21" t="s">
        <v>269</v>
      </c>
      <c r="C21" t="s">
        <v>270</v>
      </c>
      <c r="E21" t="s">
        <v>271</v>
      </c>
      <c r="F21" t="s">
        <v>220</v>
      </c>
    </row>
    <row r="22" spans="1:6" x14ac:dyDescent="0.3">
      <c r="A22" t="s">
        <v>355</v>
      </c>
      <c r="B22" t="s">
        <v>272</v>
      </c>
      <c r="C22" t="s">
        <v>273</v>
      </c>
      <c r="E22" t="s">
        <v>271</v>
      </c>
      <c r="F22" t="s">
        <v>220</v>
      </c>
    </row>
    <row r="23" spans="1:6" x14ac:dyDescent="0.3">
      <c r="A23" t="s">
        <v>355</v>
      </c>
      <c r="B23" t="s">
        <v>274</v>
      </c>
      <c r="C23" t="s">
        <v>275</v>
      </c>
      <c r="E23" t="s">
        <v>271</v>
      </c>
      <c r="F23" t="s">
        <v>220</v>
      </c>
    </row>
    <row r="24" spans="1:6" x14ac:dyDescent="0.3">
      <c r="A24" t="s">
        <v>355</v>
      </c>
      <c r="B24" t="s">
        <v>1271</v>
      </c>
      <c r="C24" t="s">
        <v>1272</v>
      </c>
      <c r="E24" t="s">
        <v>271</v>
      </c>
      <c r="F24" t="s">
        <v>220</v>
      </c>
    </row>
    <row r="25" spans="1:6" x14ac:dyDescent="0.3">
      <c r="A25" t="s">
        <v>355</v>
      </c>
      <c r="B25" t="s">
        <v>276</v>
      </c>
      <c r="C25" t="s">
        <v>277</v>
      </c>
      <c r="E25" t="s">
        <v>271</v>
      </c>
      <c r="F25" t="s">
        <v>220</v>
      </c>
    </row>
    <row r="26" spans="1:6" x14ac:dyDescent="0.3">
      <c r="A26" t="s">
        <v>355</v>
      </c>
      <c r="B26" t="s">
        <v>278</v>
      </c>
      <c r="C26" t="s">
        <v>115</v>
      </c>
      <c r="E26" t="s">
        <v>271</v>
      </c>
      <c r="F26" t="s">
        <v>220</v>
      </c>
    </row>
    <row r="27" spans="1:6" x14ac:dyDescent="0.3">
      <c r="A27" t="s">
        <v>355</v>
      </c>
      <c r="B27" t="s">
        <v>120</v>
      </c>
      <c r="C27" t="s">
        <v>116</v>
      </c>
      <c r="E27" t="s">
        <v>279</v>
      </c>
      <c r="F27" t="s">
        <v>220</v>
      </c>
    </row>
    <row r="28" spans="1:6" x14ac:dyDescent="0.3">
      <c r="A28" t="s">
        <v>355</v>
      </c>
      <c r="B28" t="s">
        <v>280</v>
      </c>
      <c r="C28" t="s">
        <v>119</v>
      </c>
      <c r="E28" t="s">
        <v>279</v>
      </c>
      <c r="F28" t="s">
        <v>220</v>
      </c>
    </row>
    <row r="29" spans="1:6" x14ac:dyDescent="0.3">
      <c r="A29" t="s">
        <v>355</v>
      </c>
      <c r="B29" t="s">
        <v>121</v>
      </c>
      <c r="C29" t="s">
        <v>113</v>
      </c>
      <c r="E29" t="s">
        <v>279</v>
      </c>
      <c r="F29" t="s">
        <v>220</v>
      </c>
    </row>
    <row r="30" spans="1:6" x14ac:dyDescent="0.3">
      <c r="A30" t="s">
        <v>355</v>
      </c>
      <c r="B30" t="s">
        <v>281</v>
      </c>
      <c r="C30" t="s">
        <v>114</v>
      </c>
      <c r="E30" t="s">
        <v>279</v>
      </c>
      <c r="F30" t="s">
        <v>220</v>
      </c>
    </row>
    <row r="31" spans="1:6" x14ac:dyDescent="0.3">
      <c r="A31" t="s">
        <v>355</v>
      </c>
      <c r="B31" t="s">
        <v>282</v>
      </c>
      <c r="C31" t="s">
        <v>112</v>
      </c>
      <c r="E31" t="s">
        <v>279</v>
      </c>
      <c r="F31" t="s">
        <v>220</v>
      </c>
    </row>
    <row r="32" spans="1:6" x14ac:dyDescent="0.3">
      <c r="A32" t="s">
        <v>355</v>
      </c>
      <c r="B32" t="s">
        <v>283</v>
      </c>
      <c r="C32" t="s">
        <v>118</v>
      </c>
      <c r="E32" t="s">
        <v>279</v>
      </c>
      <c r="F32" t="s">
        <v>220</v>
      </c>
    </row>
    <row r="33" spans="1:6" x14ac:dyDescent="0.3">
      <c r="A33" t="s">
        <v>355</v>
      </c>
      <c r="B33" t="s">
        <v>284</v>
      </c>
      <c r="C33" t="s">
        <v>117</v>
      </c>
      <c r="E33" t="s">
        <v>279</v>
      </c>
      <c r="F33" t="s">
        <v>220</v>
      </c>
    </row>
    <row r="34" spans="1:6" x14ac:dyDescent="0.3">
      <c r="A34" t="s">
        <v>355</v>
      </c>
      <c r="B34" t="s">
        <v>285</v>
      </c>
      <c r="C34" t="s">
        <v>286</v>
      </c>
      <c r="E34" t="s">
        <v>279</v>
      </c>
      <c r="F34" t="s">
        <v>220</v>
      </c>
    </row>
    <row r="35" spans="1:6" x14ac:dyDescent="0.3">
      <c r="A35" t="s">
        <v>355</v>
      </c>
      <c r="B35" t="s">
        <v>287</v>
      </c>
      <c r="C35" t="s">
        <v>122</v>
      </c>
      <c r="E35" t="s">
        <v>279</v>
      </c>
      <c r="F35" t="s">
        <v>220</v>
      </c>
    </row>
    <row r="36" spans="1:6" x14ac:dyDescent="0.3">
      <c r="A36" t="s">
        <v>355</v>
      </c>
      <c r="B36" t="s">
        <v>288</v>
      </c>
      <c r="C36" t="s">
        <v>289</v>
      </c>
      <c r="E36" t="s">
        <v>290</v>
      </c>
      <c r="F36" t="s">
        <v>220</v>
      </c>
    </row>
    <row r="37" spans="1:6" x14ac:dyDescent="0.3">
      <c r="A37" t="s">
        <v>355</v>
      </c>
      <c r="B37" t="s">
        <v>291</v>
      </c>
      <c r="C37" t="s">
        <v>292</v>
      </c>
      <c r="E37" t="s">
        <v>290</v>
      </c>
      <c r="F37" t="s">
        <v>220</v>
      </c>
    </row>
    <row r="38" spans="1:6" x14ac:dyDescent="0.3">
      <c r="A38" t="s">
        <v>355</v>
      </c>
      <c r="B38" t="s">
        <v>293</v>
      </c>
      <c r="C38" t="s">
        <v>294</v>
      </c>
      <c r="E38" t="s">
        <v>290</v>
      </c>
      <c r="F38" t="s">
        <v>220</v>
      </c>
    </row>
    <row r="39" spans="1:6" x14ac:dyDescent="0.3">
      <c r="A39" t="s">
        <v>355</v>
      </c>
      <c r="B39" t="s">
        <v>295</v>
      </c>
      <c r="C39" t="s">
        <v>296</v>
      </c>
      <c r="E39" t="s">
        <v>290</v>
      </c>
      <c r="F39" t="s">
        <v>220</v>
      </c>
    </row>
    <row r="40" spans="1:6" x14ac:dyDescent="0.3">
      <c r="A40" t="s">
        <v>355</v>
      </c>
      <c r="B40" t="s">
        <v>297</v>
      </c>
      <c r="C40" t="s">
        <v>298</v>
      </c>
      <c r="E40" t="s">
        <v>290</v>
      </c>
      <c r="F40" t="s">
        <v>220</v>
      </c>
    </row>
    <row r="41" spans="1:6" x14ac:dyDescent="0.3">
      <c r="A41" t="s">
        <v>355</v>
      </c>
      <c r="B41" t="s">
        <v>299</v>
      </c>
      <c r="C41" t="s">
        <v>300</v>
      </c>
      <c r="E41" t="s">
        <v>290</v>
      </c>
      <c r="F41" t="s">
        <v>220</v>
      </c>
    </row>
    <row r="42" spans="1:6" x14ac:dyDescent="0.3">
      <c r="A42" t="s">
        <v>355</v>
      </c>
      <c r="B42" t="s">
        <v>301</v>
      </c>
      <c r="C42" t="s">
        <v>302</v>
      </c>
      <c r="E42" t="s">
        <v>290</v>
      </c>
      <c r="F42" t="s">
        <v>220</v>
      </c>
    </row>
    <row r="43" spans="1:6" x14ac:dyDescent="0.3">
      <c r="A43" t="s">
        <v>355</v>
      </c>
      <c r="B43" t="s">
        <v>303</v>
      </c>
      <c r="C43" t="s">
        <v>304</v>
      </c>
      <c r="E43" t="s">
        <v>290</v>
      </c>
      <c r="F43" t="s">
        <v>220</v>
      </c>
    </row>
    <row r="44" spans="1:6" x14ac:dyDescent="0.3">
      <c r="A44" t="s">
        <v>355</v>
      </c>
      <c r="B44" t="s">
        <v>305</v>
      </c>
      <c r="C44" t="s">
        <v>306</v>
      </c>
      <c r="E44" t="s">
        <v>290</v>
      </c>
      <c r="F44" t="s">
        <v>220</v>
      </c>
    </row>
    <row r="45" spans="1:6" x14ac:dyDescent="0.3">
      <c r="A45" t="s">
        <v>355</v>
      </c>
      <c r="B45" t="s">
        <v>307</v>
      </c>
      <c r="C45" t="s">
        <v>308</v>
      </c>
      <c r="E45" t="s">
        <v>290</v>
      </c>
      <c r="F45" t="s">
        <v>220</v>
      </c>
    </row>
    <row r="46" spans="1:6" x14ac:dyDescent="0.3">
      <c r="A46" t="s">
        <v>355</v>
      </c>
      <c r="B46" t="s">
        <v>309</v>
      </c>
      <c r="C46" t="s">
        <v>310</v>
      </c>
      <c r="E46" t="s">
        <v>311</v>
      </c>
      <c r="F46" t="s">
        <v>220</v>
      </c>
    </row>
    <row r="47" spans="1:6" x14ac:dyDescent="0.3">
      <c r="A47" t="s">
        <v>355</v>
      </c>
      <c r="B47" t="s">
        <v>312</v>
      </c>
      <c r="C47" t="s">
        <v>313</v>
      </c>
      <c r="E47" t="s">
        <v>311</v>
      </c>
      <c r="F47" t="s">
        <v>220</v>
      </c>
    </row>
    <row r="48" spans="1:6" x14ac:dyDescent="0.3">
      <c r="A48" t="s">
        <v>355</v>
      </c>
      <c r="B48" t="s">
        <v>314</v>
      </c>
      <c r="C48" t="s">
        <v>315</v>
      </c>
      <c r="E48" t="s">
        <v>311</v>
      </c>
      <c r="F48" t="s">
        <v>220</v>
      </c>
    </row>
    <row r="49" spans="1:6" x14ac:dyDescent="0.3">
      <c r="A49" t="s">
        <v>355</v>
      </c>
      <c r="B49" t="s">
        <v>301</v>
      </c>
      <c r="C49" t="s">
        <v>302</v>
      </c>
      <c r="E49" t="s">
        <v>311</v>
      </c>
      <c r="F49" t="s">
        <v>220</v>
      </c>
    </row>
    <row r="50" spans="1:6" x14ac:dyDescent="0.3">
      <c r="A50" t="s">
        <v>355</v>
      </c>
      <c r="B50" t="s">
        <v>316</v>
      </c>
      <c r="C50" t="s">
        <v>317</v>
      </c>
      <c r="E50" t="s">
        <v>311</v>
      </c>
      <c r="F50" t="s">
        <v>220</v>
      </c>
    </row>
    <row r="51" spans="1:6" x14ac:dyDescent="0.3">
      <c r="A51" t="s">
        <v>355</v>
      </c>
      <c r="B51" t="s">
        <v>318</v>
      </c>
      <c r="C51" t="s">
        <v>319</v>
      </c>
      <c r="E51" t="s">
        <v>320</v>
      </c>
      <c r="F51" t="s">
        <v>220</v>
      </c>
    </row>
    <row r="52" spans="1:6" x14ac:dyDescent="0.3">
      <c r="A52" t="s">
        <v>355</v>
      </c>
      <c r="B52" t="s">
        <v>321</v>
      </c>
      <c r="C52" t="s">
        <v>322</v>
      </c>
      <c r="E52" t="s">
        <v>323</v>
      </c>
      <c r="F52" t="s">
        <v>219</v>
      </c>
    </row>
    <row r="53" spans="1:6" x14ac:dyDescent="0.3">
      <c r="A53" t="s">
        <v>355</v>
      </c>
      <c r="B53" t="s">
        <v>324</v>
      </c>
      <c r="C53" t="s">
        <v>325</v>
      </c>
      <c r="E53" t="s">
        <v>323</v>
      </c>
      <c r="F53" t="s">
        <v>219</v>
      </c>
    </row>
    <row r="54" spans="1:6" x14ac:dyDescent="0.3">
      <c r="A54" t="s">
        <v>355</v>
      </c>
      <c r="B54" t="s">
        <v>326</v>
      </c>
      <c r="C54" t="s">
        <v>327</v>
      </c>
      <c r="E54" t="s">
        <v>323</v>
      </c>
      <c r="F54" t="s">
        <v>219</v>
      </c>
    </row>
    <row r="55" spans="1:6" x14ac:dyDescent="0.3">
      <c r="A55" t="s">
        <v>355</v>
      </c>
      <c r="B55" t="s">
        <v>328</v>
      </c>
      <c r="C55" t="s">
        <v>294</v>
      </c>
      <c r="E55" t="s">
        <v>323</v>
      </c>
      <c r="F55" t="s">
        <v>219</v>
      </c>
    </row>
    <row r="56" spans="1:6" x14ac:dyDescent="0.3">
      <c r="A56" t="s">
        <v>355</v>
      </c>
      <c r="B56" t="s">
        <v>329</v>
      </c>
      <c r="C56" t="s">
        <v>330</v>
      </c>
      <c r="E56" t="s">
        <v>323</v>
      </c>
      <c r="F56" t="s">
        <v>219</v>
      </c>
    </row>
    <row r="57" spans="1:6" x14ac:dyDescent="0.3">
      <c r="A57" t="s">
        <v>355</v>
      </c>
      <c r="B57" t="s">
        <v>331</v>
      </c>
      <c r="C57" t="s">
        <v>332</v>
      </c>
      <c r="E57" t="s">
        <v>323</v>
      </c>
      <c r="F57" t="s">
        <v>219</v>
      </c>
    </row>
    <row r="58" spans="1:6" x14ac:dyDescent="0.3">
      <c r="A58" t="s">
        <v>355</v>
      </c>
      <c r="B58" t="s">
        <v>333</v>
      </c>
      <c r="C58" t="s">
        <v>334</v>
      </c>
      <c r="E58" t="s">
        <v>323</v>
      </c>
      <c r="F58" t="s">
        <v>219</v>
      </c>
    </row>
    <row r="59" spans="1:6" x14ac:dyDescent="0.3">
      <c r="A59" t="s">
        <v>355</v>
      </c>
      <c r="B59" t="s">
        <v>335</v>
      </c>
      <c r="C59" t="s">
        <v>336</v>
      </c>
      <c r="E59" t="s">
        <v>323</v>
      </c>
      <c r="F59" t="s">
        <v>219</v>
      </c>
    </row>
    <row r="60" spans="1:6" x14ac:dyDescent="0.3">
      <c r="A60" t="s">
        <v>355</v>
      </c>
      <c r="B60" t="s">
        <v>337</v>
      </c>
      <c r="C60" t="s">
        <v>338</v>
      </c>
      <c r="E60" t="s">
        <v>323</v>
      </c>
      <c r="F60" t="s">
        <v>219</v>
      </c>
    </row>
    <row r="61" spans="1:6" x14ac:dyDescent="0.3">
      <c r="A61" t="s">
        <v>355</v>
      </c>
      <c r="B61" t="s">
        <v>339</v>
      </c>
      <c r="C61" t="s">
        <v>340</v>
      </c>
      <c r="E61" t="s">
        <v>323</v>
      </c>
      <c r="F61" t="s">
        <v>219</v>
      </c>
    </row>
    <row r="62" spans="1:6" x14ac:dyDescent="0.3">
      <c r="A62" t="s">
        <v>355</v>
      </c>
      <c r="B62" t="s">
        <v>341</v>
      </c>
      <c r="C62" t="s">
        <v>342</v>
      </c>
      <c r="E62" t="s">
        <v>323</v>
      </c>
      <c r="F62" t="s">
        <v>219</v>
      </c>
    </row>
    <row r="63" spans="1:6" x14ac:dyDescent="0.3">
      <c r="A63" t="s">
        <v>355</v>
      </c>
      <c r="B63" t="s">
        <v>343</v>
      </c>
      <c r="C63" t="s">
        <v>344</v>
      </c>
      <c r="E63" t="s">
        <v>323</v>
      </c>
      <c r="F63" t="s">
        <v>219</v>
      </c>
    </row>
    <row r="64" spans="1:6" x14ac:dyDescent="0.3">
      <c r="A64" t="s">
        <v>355</v>
      </c>
      <c r="B64" t="s">
        <v>345</v>
      </c>
      <c r="C64" t="s">
        <v>346</v>
      </c>
      <c r="E64" t="s">
        <v>323</v>
      </c>
      <c r="F64" t="s">
        <v>219</v>
      </c>
    </row>
    <row r="65" spans="1:6" x14ac:dyDescent="0.3">
      <c r="A65" t="s">
        <v>355</v>
      </c>
      <c r="B65" t="s">
        <v>347</v>
      </c>
      <c r="C65" t="s">
        <v>348</v>
      </c>
      <c r="E65" t="s">
        <v>323</v>
      </c>
      <c r="F65" t="s">
        <v>219</v>
      </c>
    </row>
    <row r="66" spans="1:6" x14ac:dyDescent="0.3">
      <c r="A66" t="s">
        <v>355</v>
      </c>
      <c r="B66" t="s">
        <v>349</v>
      </c>
      <c r="C66" t="s">
        <v>350</v>
      </c>
      <c r="E66" t="s">
        <v>323</v>
      </c>
      <c r="F66" t="s">
        <v>219</v>
      </c>
    </row>
    <row r="67" spans="1:6" x14ac:dyDescent="0.3">
      <c r="A67" t="s">
        <v>355</v>
      </c>
      <c r="B67" t="s">
        <v>351</v>
      </c>
      <c r="C67" t="s">
        <v>352</v>
      </c>
      <c r="E67" t="s">
        <v>323</v>
      </c>
      <c r="F67" t="s">
        <v>219</v>
      </c>
    </row>
    <row r="68" spans="1:6" s="1" customFormat="1" ht="15" thickBot="1" x14ac:dyDescent="0.35">
      <c r="A68" s="1" t="s">
        <v>355</v>
      </c>
      <c r="B68" s="1" t="s">
        <v>353</v>
      </c>
      <c r="C68" s="1" t="s">
        <v>354</v>
      </c>
      <c r="E68" s="1" t="s">
        <v>323</v>
      </c>
      <c r="F68" s="1" t="s">
        <v>219</v>
      </c>
    </row>
    <row r="69" spans="1:6" x14ac:dyDescent="0.3">
      <c r="A69" t="s">
        <v>364</v>
      </c>
      <c r="B69" t="s">
        <v>967</v>
      </c>
      <c r="C69" t="s">
        <v>968</v>
      </c>
    </row>
    <row r="70" spans="1:6" x14ac:dyDescent="0.3">
      <c r="A70" t="s">
        <v>364</v>
      </c>
      <c r="B70" t="s">
        <v>982</v>
      </c>
      <c r="C70" t="s">
        <v>969</v>
      </c>
    </row>
    <row r="71" spans="1:6" x14ac:dyDescent="0.3">
      <c r="A71" t="s">
        <v>364</v>
      </c>
      <c r="B71" t="s">
        <v>1462</v>
      </c>
      <c r="C71" t="s">
        <v>970</v>
      </c>
    </row>
    <row r="72" spans="1:6" x14ac:dyDescent="0.3">
      <c r="A72" t="s">
        <v>364</v>
      </c>
      <c r="B72" t="s">
        <v>1461</v>
      </c>
      <c r="C72" t="s">
        <v>971</v>
      </c>
    </row>
    <row r="73" spans="1:6" x14ac:dyDescent="0.3">
      <c r="A73" t="s">
        <v>364</v>
      </c>
      <c r="B73" t="s">
        <v>983</v>
      </c>
      <c r="C73" t="s">
        <v>972</v>
      </c>
    </row>
    <row r="74" spans="1:6" x14ac:dyDescent="0.3">
      <c r="A74" t="s">
        <v>364</v>
      </c>
      <c r="B74" t="s">
        <v>989</v>
      </c>
      <c r="C74" t="s">
        <v>973</v>
      </c>
    </row>
    <row r="75" spans="1:6" x14ac:dyDescent="0.3">
      <c r="A75" t="s">
        <v>364</v>
      </c>
      <c r="B75" t="s">
        <v>984</v>
      </c>
      <c r="C75" t="s">
        <v>974</v>
      </c>
    </row>
    <row r="76" spans="1:6" x14ac:dyDescent="0.3">
      <c r="A76" t="s">
        <v>364</v>
      </c>
      <c r="B76" t="s">
        <v>985</v>
      </c>
      <c r="C76" t="s">
        <v>975</v>
      </c>
    </row>
    <row r="77" spans="1:6" x14ac:dyDescent="0.3">
      <c r="A77" t="s">
        <v>364</v>
      </c>
      <c r="B77" t="s">
        <v>991</v>
      </c>
      <c r="C77" t="s">
        <v>976</v>
      </c>
    </row>
    <row r="78" spans="1:6" x14ac:dyDescent="0.3">
      <c r="A78" t="s">
        <v>364</v>
      </c>
      <c r="B78" t="s">
        <v>988</v>
      </c>
      <c r="C78" t="s">
        <v>977</v>
      </c>
    </row>
    <row r="79" spans="1:6" x14ac:dyDescent="0.3">
      <c r="A79" t="s">
        <v>364</v>
      </c>
      <c r="B79" t="s">
        <v>986</v>
      </c>
      <c r="C79" t="s">
        <v>978</v>
      </c>
    </row>
    <row r="80" spans="1:6" x14ac:dyDescent="0.3">
      <c r="A80" t="s">
        <v>364</v>
      </c>
      <c r="B80" t="s">
        <v>1524</v>
      </c>
      <c r="C80" t="s">
        <v>1525</v>
      </c>
    </row>
    <row r="81" spans="1:13" x14ac:dyDescent="0.3">
      <c r="A81" t="s">
        <v>364</v>
      </c>
      <c r="B81" t="s">
        <v>992</v>
      </c>
      <c r="C81" t="s">
        <v>1460</v>
      </c>
    </row>
    <row r="82" spans="1:13" x14ac:dyDescent="0.3">
      <c r="A82" t="s">
        <v>364</v>
      </c>
      <c r="B82" t="s">
        <v>990</v>
      </c>
      <c r="C82" t="s">
        <v>979</v>
      </c>
    </row>
    <row r="83" spans="1:13" x14ac:dyDescent="0.3">
      <c r="A83" t="s">
        <v>364</v>
      </c>
      <c r="B83" t="s">
        <v>987</v>
      </c>
      <c r="C83" t="s">
        <v>980</v>
      </c>
    </row>
    <row r="84" spans="1:13" s="1" customFormat="1" ht="15" thickBot="1" x14ac:dyDescent="0.35">
      <c r="A84" s="1" t="s">
        <v>364</v>
      </c>
      <c r="B84" s="1" t="s">
        <v>993</v>
      </c>
      <c r="C84" s="1" t="s">
        <v>981</v>
      </c>
    </row>
    <row r="85" spans="1:13" x14ac:dyDescent="0.3">
      <c r="A85" t="s">
        <v>231</v>
      </c>
      <c r="B85" t="s">
        <v>224</v>
      </c>
      <c r="C85" t="s">
        <v>996</v>
      </c>
      <c r="M85" t="s">
        <v>435</v>
      </c>
    </row>
    <row r="86" spans="1:13" x14ac:dyDescent="0.3">
      <c r="A86" t="s">
        <v>231</v>
      </c>
      <c r="B86" t="s">
        <v>236</v>
      </c>
      <c r="C86" t="s">
        <v>994</v>
      </c>
      <c r="M86" t="s">
        <v>435</v>
      </c>
    </row>
    <row r="87" spans="1:13" x14ac:dyDescent="0.3">
      <c r="A87" t="s">
        <v>231</v>
      </c>
      <c r="B87" t="s">
        <v>19</v>
      </c>
      <c r="C87" t="s">
        <v>995</v>
      </c>
      <c r="M87" t="s">
        <v>435</v>
      </c>
    </row>
    <row r="88" spans="1:13" x14ac:dyDescent="0.3">
      <c r="A88" t="s">
        <v>231</v>
      </c>
      <c r="B88" t="s">
        <v>438</v>
      </c>
      <c r="C88" t="s">
        <v>440</v>
      </c>
      <c r="M88" t="s">
        <v>436</v>
      </c>
    </row>
    <row r="89" spans="1:13" s="1" customFormat="1" ht="15" thickBot="1" x14ac:dyDescent="0.35">
      <c r="A89" s="1" t="s">
        <v>231</v>
      </c>
      <c r="B89" s="1" t="s">
        <v>439</v>
      </c>
      <c r="C89" s="1" t="s">
        <v>441</v>
      </c>
      <c r="M89" s="1" t="s">
        <v>436</v>
      </c>
    </row>
    <row r="90" spans="1:13" x14ac:dyDescent="0.3">
      <c r="A90" t="s">
        <v>232</v>
      </c>
      <c r="B90" t="s">
        <v>226</v>
      </c>
      <c r="C90" t="s">
        <v>251</v>
      </c>
    </row>
    <row r="91" spans="1:13" x14ac:dyDescent="0.3">
      <c r="A91" t="s">
        <v>232</v>
      </c>
      <c r="B91" t="s">
        <v>227</v>
      </c>
      <c r="C91" t="s">
        <v>252</v>
      </c>
    </row>
    <row r="92" spans="1:13" s="1" customFormat="1" ht="15" thickBot="1" x14ac:dyDescent="0.35">
      <c r="A92" s="1" t="s">
        <v>232</v>
      </c>
      <c r="B92" s="1" t="s">
        <v>228</v>
      </c>
      <c r="C92" s="1" t="s">
        <v>253</v>
      </c>
    </row>
    <row r="93" spans="1:13" x14ac:dyDescent="0.3">
      <c r="A93" t="s">
        <v>245</v>
      </c>
      <c r="B93" t="s">
        <v>246</v>
      </c>
      <c r="C93" t="s">
        <v>248</v>
      </c>
    </row>
    <row r="94" spans="1:13" x14ac:dyDescent="0.3">
      <c r="A94" t="s">
        <v>245</v>
      </c>
      <c r="B94" t="s">
        <v>247</v>
      </c>
      <c r="C94" t="s">
        <v>249</v>
      </c>
    </row>
    <row r="95" spans="1:13" s="1" customFormat="1" ht="15" thickBot="1" x14ac:dyDescent="0.35">
      <c r="A95" s="1" t="s">
        <v>245</v>
      </c>
      <c r="B95" s="1" t="s">
        <v>1411</v>
      </c>
      <c r="C95" s="1" t="s">
        <v>1412</v>
      </c>
    </row>
    <row r="96" spans="1:13" x14ac:dyDescent="0.3">
      <c r="A96" t="s">
        <v>85</v>
      </c>
      <c r="B96" t="s">
        <v>86</v>
      </c>
      <c r="C96" t="s">
        <v>254</v>
      </c>
    </row>
    <row r="97" spans="1:6" s="1" customFormat="1" ht="15" thickBot="1" x14ac:dyDescent="0.35">
      <c r="A97" s="1" t="s">
        <v>85</v>
      </c>
      <c r="B97" s="1" t="s">
        <v>87</v>
      </c>
      <c r="C97" s="1" t="s">
        <v>255</v>
      </c>
    </row>
    <row r="98" spans="1:6" x14ac:dyDescent="0.3">
      <c r="A98" t="s">
        <v>250</v>
      </c>
      <c r="B98" t="s">
        <v>1047</v>
      </c>
      <c r="C98" t="s">
        <v>1049</v>
      </c>
      <c r="D98" t="str">
        <f>B98&amp;".jpg"</f>
        <v>FIO-E-ANZOL.jpg</v>
      </c>
      <c r="F98" t="s">
        <v>220</v>
      </c>
    </row>
    <row r="99" spans="1:6" x14ac:dyDescent="0.3">
      <c r="A99" t="s">
        <v>250</v>
      </c>
      <c r="B99" t="s">
        <v>1048</v>
      </c>
      <c r="C99" t="s">
        <v>1050</v>
      </c>
      <c r="D99" t="str">
        <f t="shared" ref="D99:D112" si="0">B99&amp;".jpg"</f>
        <v>REDE-EMALHAR-SUPERFICIE.jpg</v>
      </c>
      <c r="F99" t="s">
        <v>220</v>
      </c>
    </row>
    <row r="100" spans="1:6" x14ac:dyDescent="0.3">
      <c r="A100" t="s">
        <v>250</v>
      </c>
      <c r="B100" t="s">
        <v>1052</v>
      </c>
      <c r="C100" t="s">
        <v>1051</v>
      </c>
      <c r="D100" t="str">
        <f t="shared" si="0"/>
        <v>REDE-BRISA.jpg</v>
      </c>
      <c r="F100" t="s">
        <v>220</v>
      </c>
    </row>
    <row r="101" spans="1:6" x14ac:dyDescent="0.3">
      <c r="A101" t="s">
        <v>250</v>
      </c>
      <c r="B101" t="s">
        <v>1059</v>
      </c>
      <c r="C101" t="s">
        <v>1053</v>
      </c>
      <c r="D101" t="str">
        <f t="shared" si="0"/>
        <v>REDE-EMALHAR-DEMERSAL.jpg</v>
      </c>
      <c r="F101" t="s">
        <v>220</v>
      </c>
    </row>
    <row r="102" spans="1:6" x14ac:dyDescent="0.3">
      <c r="A102" t="s">
        <v>250</v>
      </c>
      <c r="B102" t="s">
        <v>188</v>
      </c>
      <c r="C102" t="s">
        <v>1054</v>
      </c>
      <c r="D102" t="str">
        <f t="shared" si="0"/>
        <v>VOADOR-PANHA.jpg</v>
      </c>
      <c r="F102" t="s">
        <v>220</v>
      </c>
    </row>
    <row r="103" spans="1:6" x14ac:dyDescent="0.3">
      <c r="A103" t="s">
        <v>250</v>
      </c>
      <c r="B103" t="s">
        <v>135</v>
      </c>
      <c r="C103" t="s">
        <v>1055</v>
      </c>
      <c r="D103" t="str">
        <f t="shared" si="0"/>
        <v>SUBMARINO.jpg</v>
      </c>
      <c r="F103" t="s">
        <v>220</v>
      </c>
    </row>
    <row r="104" spans="1:6" x14ac:dyDescent="0.3">
      <c r="A104" t="s">
        <v>250</v>
      </c>
      <c r="B104" t="s">
        <v>805</v>
      </c>
      <c r="C104" t="s">
        <v>1056</v>
      </c>
      <c r="D104" t="str">
        <f t="shared" si="0"/>
        <v>TARRAFA.jpg</v>
      </c>
      <c r="F104" t="s">
        <v>220</v>
      </c>
    </row>
    <row r="105" spans="1:6" x14ac:dyDescent="0.3">
      <c r="A105" t="s">
        <v>250</v>
      </c>
      <c r="B105" t="s">
        <v>1062</v>
      </c>
      <c r="C105" t="s">
        <v>1063</v>
      </c>
      <c r="D105" t="str">
        <f t="shared" si="0"/>
        <v>PESCA-DE-SANTOLA.jpg</v>
      </c>
      <c r="F105" t="s">
        <v>220</v>
      </c>
    </row>
    <row r="106" spans="1:6" x14ac:dyDescent="0.3">
      <c r="A106" t="s">
        <v>250</v>
      </c>
      <c r="B106" t="s">
        <v>1266</v>
      </c>
      <c r="C106" t="s">
        <v>1270</v>
      </c>
      <c r="D106" t="str">
        <f>B106&amp;".jpg"</f>
        <v>NAO-PESCA.jpg</v>
      </c>
      <c r="F106" t="s">
        <v>220</v>
      </c>
    </row>
    <row r="107" spans="1:6" x14ac:dyDescent="0.3">
      <c r="A107" t="s">
        <v>250</v>
      </c>
      <c r="B107" t="s">
        <v>1047</v>
      </c>
      <c r="C107" t="s">
        <v>1049</v>
      </c>
      <c r="D107" t="str">
        <f t="shared" si="0"/>
        <v>FIO-E-ANZOL.jpg</v>
      </c>
      <c r="F107" t="s">
        <v>219</v>
      </c>
    </row>
    <row r="108" spans="1:6" x14ac:dyDescent="0.3">
      <c r="A108" t="s">
        <v>250</v>
      </c>
      <c r="B108" t="s">
        <v>1048</v>
      </c>
      <c r="C108" t="s">
        <v>1050</v>
      </c>
      <c r="D108" t="str">
        <f t="shared" si="0"/>
        <v>REDE-EMALHAR-SUPERFICIE.jpg</v>
      </c>
      <c r="F108" t="s">
        <v>219</v>
      </c>
    </row>
    <row r="109" spans="1:6" x14ac:dyDescent="0.3">
      <c r="A109" t="s">
        <v>250</v>
      </c>
      <c r="B109" t="s">
        <v>1052</v>
      </c>
      <c r="C109" t="s">
        <v>1051</v>
      </c>
      <c r="D109" t="str">
        <f t="shared" si="0"/>
        <v>REDE-BRISA.jpg</v>
      </c>
      <c r="F109" t="s">
        <v>219</v>
      </c>
    </row>
    <row r="110" spans="1:6" x14ac:dyDescent="0.3">
      <c r="A110" t="s">
        <v>250</v>
      </c>
      <c r="B110" t="s">
        <v>1059</v>
      </c>
      <c r="C110" t="s">
        <v>1057</v>
      </c>
      <c r="D110" t="str">
        <f t="shared" si="0"/>
        <v>REDE-EMALHAR-DEMERSAL.jpg</v>
      </c>
      <c r="F110" t="s">
        <v>219</v>
      </c>
    </row>
    <row r="111" spans="1:6" x14ac:dyDescent="0.3">
      <c r="A111" t="s">
        <v>250</v>
      </c>
      <c r="B111" t="s">
        <v>135</v>
      </c>
      <c r="C111" t="s">
        <v>1055</v>
      </c>
      <c r="D111" t="str">
        <f t="shared" si="0"/>
        <v>SUBMARINO.jpg</v>
      </c>
      <c r="F111" t="s">
        <v>219</v>
      </c>
    </row>
    <row r="112" spans="1:6" x14ac:dyDescent="0.3">
      <c r="A112" t="s">
        <v>250</v>
      </c>
      <c r="B112" t="s">
        <v>805</v>
      </c>
      <c r="C112" t="s">
        <v>1056</v>
      </c>
      <c r="D112" t="str">
        <f t="shared" si="0"/>
        <v>TARRAFA.jpg</v>
      </c>
      <c r="F112" t="s">
        <v>219</v>
      </c>
    </row>
    <row r="113" spans="1:6" s="1" customFormat="1" ht="15" thickBot="1" x14ac:dyDescent="0.35">
      <c r="A113" s="1" t="s">
        <v>250</v>
      </c>
      <c r="B113" s="1" t="s">
        <v>1266</v>
      </c>
      <c r="C113" s="1" t="s">
        <v>1270</v>
      </c>
      <c r="D113" s="1" t="str">
        <f>B113&amp;".jpg"</f>
        <v>NAO-PESCA.jpg</v>
      </c>
      <c r="F113" s="1" t="s">
        <v>219</v>
      </c>
    </row>
    <row r="114" spans="1:6" x14ac:dyDescent="0.3">
      <c r="A114" t="s">
        <v>34</v>
      </c>
      <c r="B114" t="s">
        <v>35</v>
      </c>
      <c r="C114" t="s">
        <v>36</v>
      </c>
    </row>
    <row r="115" spans="1:6" x14ac:dyDescent="0.3">
      <c r="A115" t="s">
        <v>34</v>
      </c>
      <c r="B115">
        <v>1</v>
      </c>
      <c r="C115" t="s">
        <v>88</v>
      </c>
    </row>
    <row r="116" spans="1:6" x14ac:dyDescent="0.3">
      <c r="A116" t="s">
        <v>34</v>
      </c>
      <c r="B116">
        <v>2</v>
      </c>
      <c r="C116" t="s">
        <v>89</v>
      </c>
    </row>
    <row r="117" spans="1:6" x14ac:dyDescent="0.3">
      <c r="A117" t="s">
        <v>34</v>
      </c>
      <c r="B117">
        <v>3</v>
      </c>
      <c r="C117" t="s">
        <v>76</v>
      </c>
    </row>
    <row r="118" spans="1:6" x14ac:dyDescent="0.3">
      <c r="A118" t="s">
        <v>34</v>
      </c>
      <c r="B118">
        <v>4</v>
      </c>
      <c r="C118" t="s">
        <v>37</v>
      </c>
    </row>
    <row r="119" spans="1:6" x14ac:dyDescent="0.3">
      <c r="A119" t="s">
        <v>34</v>
      </c>
      <c r="B119">
        <v>5</v>
      </c>
      <c r="C119" t="s">
        <v>38</v>
      </c>
    </row>
    <row r="120" spans="1:6" x14ac:dyDescent="0.3">
      <c r="A120" t="s">
        <v>34</v>
      </c>
      <c r="B120">
        <v>6</v>
      </c>
      <c r="C120" t="s">
        <v>90</v>
      </c>
    </row>
    <row r="121" spans="1:6" x14ac:dyDescent="0.3">
      <c r="A121" t="s">
        <v>34</v>
      </c>
      <c r="B121">
        <v>7</v>
      </c>
      <c r="C121" t="s">
        <v>91</v>
      </c>
    </row>
    <row r="122" spans="1:6" x14ac:dyDescent="0.3">
      <c r="A122" t="s">
        <v>34</v>
      </c>
      <c r="B122">
        <v>8</v>
      </c>
      <c r="C122" t="s">
        <v>92</v>
      </c>
    </row>
    <row r="123" spans="1:6" x14ac:dyDescent="0.3">
      <c r="A123" t="s">
        <v>34</v>
      </c>
      <c r="B123">
        <v>9</v>
      </c>
      <c r="C123" t="s">
        <v>93</v>
      </c>
    </row>
    <row r="124" spans="1:6" s="1" customFormat="1" ht="15" thickBot="1" x14ac:dyDescent="0.35">
      <c r="A124" s="1" t="s">
        <v>34</v>
      </c>
      <c r="B124" s="1">
        <v>10</v>
      </c>
      <c r="C124" s="1" t="s">
        <v>94</v>
      </c>
    </row>
    <row r="125" spans="1:6" x14ac:dyDescent="0.3">
      <c r="A125" t="s">
        <v>137</v>
      </c>
      <c r="B125" t="s">
        <v>138</v>
      </c>
      <c r="C125" t="s">
        <v>801</v>
      </c>
    </row>
    <row r="126" spans="1:6" x14ac:dyDescent="0.3">
      <c r="A126" t="s">
        <v>137</v>
      </c>
      <c r="B126" t="s">
        <v>803</v>
      </c>
      <c r="C126" t="s">
        <v>802</v>
      </c>
    </row>
    <row r="127" spans="1:6" x14ac:dyDescent="0.3">
      <c r="A127" t="s">
        <v>137</v>
      </c>
      <c r="B127" t="s">
        <v>197</v>
      </c>
      <c r="C127" t="s">
        <v>268</v>
      </c>
    </row>
    <row r="128" spans="1:6" s="1" customFormat="1" ht="15" thickBot="1" x14ac:dyDescent="0.35">
      <c r="A128" s="1" t="s">
        <v>137</v>
      </c>
      <c r="B128" s="1" t="s">
        <v>211</v>
      </c>
      <c r="C128" s="1" t="s">
        <v>804</v>
      </c>
    </row>
    <row r="129" spans="1:12" x14ac:dyDescent="0.3">
      <c r="A129" t="s">
        <v>1247</v>
      </c>
      <c r="B129" t="s">
        <v>1243</v>
      </c>
      <c r="C129" t="s">
        <v>1248</v>
      </c>
    </row>
    <row r="130" spans="1:12" x14ac:dyDescent="0.3">
      <c r="A130" t="s">
        <v>1247</v>
      </c>
      <c r="B130" t="s">
        <v>1244</v>
      </c>
      <c r="C130" t="s">
        <v>1249</v>
      </c>
    </row>
    <row r="131" spans="1:12" s="1" customFormat="1" ht="15" thickBot="1" x14ac:dyDescent="0.35">
      <c r="A131" s="1" t="s">
        <v>1247</v>
      </c>
      <c r="B131" s="1" t="s">
        <v>1245</v>
      </c>
      <c r="C131" s="1" t="s">
        <v>1246</v>
      </c>
    </row>
    <row r="132" spans="1:12" x14ac:dyDescent="0.3">
      <c r="A132" t="s">
        <v>96</v>
      </c>
      <c r="B132" t="s">
        <v>97</v>
      </c>
      <c r="C132" t="s">
        <v>100</v>
      </c>
    </row>
    <row r="133" spans="1:12" x14ac:dyDescent="0.3">
      <c r="A133" t="s">
        <v>96</v>
      </c>
      <c r="B133" t="s">
        <v>98</v>
      </c>
      <c r="C133" t="s">
        <v>101</v>
      </c>
    </row>
    <row r="134" spans="1:12" x14ac:dyDescent="0.3">
      <c r="A134" t="s">
        <v>96</v>
      </c>
      <c r="B134" t="s">
        <v>99</v>
      </c>
      <c r="C134" t="s">
        <v>102</v>
      </c>
    </row>
    <row r="135" spans="1:12" x14ac:dyDescent="0.3">
      <c r="A135" t="s">
        <v>96</v>
      </c>
      <c r="B135" t="s">
        <v>104</v>
      </c>
      <c r="C135" t="s">
        <v>105</v>
      </c>
    </row>
    <row r="136" spans="1:12" x14ac:dyDescent="0.3">
      <c r="A136" t="s">
        <v>96</v>
      </c>
      <c r="B136" t="s">
        <v>1267</v>
      </c>
      <c r="C136" t="s">
        <v>1268</v>
      </c>
    </row>
    <row r="137" spans="1:12" s="1" customFormat="1" ht="15" thickBot="1" x14ac:dyDescent="0.35">
      <c r="A137" s="1" t="s">
        <v>96</v>
      </c>
      <c r="B137" s="1" t="s">
        <v>107</v>
      </c>
      <c r="C137" s="1" t="s">
        <v>106</v>
      </c>
    </row>
    <row r="138" spans="1:12" s="13" customFormat="1" x14ac:dyDescent="0.3">
      <c r="A138" s="22" t="s">
        <v>22</v>
      </c>
      <c r="B138" s="13" t="s">
        <v>550</v>
      </c>
      <c r="C138" s="23" t="s">
        <v>551</v>
      </c>
      <c r="D138" s="13" t="s">
        <v>1070</v>
      </c>
      <c r="F138" s="13" t="s">
        <v>552</v>
      </c>
      <c r="G138" s="13" t="s">
        <v>551</v>
      </c>
      <c r="H138" s="13" t="s">
        <v>551</v>
      </c>
      <c r="I138" s="13" t="s">
        <v>552</v>
      </c>
      <c r="J138" s="13" t="s">
        <v>552</v>
      </c>
      <c r="K138" s="13" t="s">
        <v>552</v>
      </c>
      <c r="L138" s="13" t="s">
        <v>551</v>
      </c>
    </row>
    <row r="139" spans="1:12" s="13" customFormat="1" x14ac:dyDescent="0.3">
      <c r="A139" s="22" t="s">
        <v>22</v>
      </c>
      <c r="B139" s="13" t="s">
        <v>555</v>
      </c>
      <c r="C139" s="23" t="s">
        <v>554</v>
      </c>
      <c r="D139" s="13" t="s">
        <v>1071</v>
      </c>
      <c r="F139" s="13" t="s">
        <v>220</v>
      </c>
      <c r="G139" s="13" t="s">
        <v>553</v>
      </c>
      <c r="H139" s="13" t="s">
        <v>553</v>
      </c>
      <c r="I139" s="13" t="s">
        <v>1064</v>
      </c>
      <c r="J139" s="13" t="s">
        <v>1437</v>
      </c>
      <c r="K139" s="13" t="s">
        <v>1438</v>
      </c>
      <c r="L139" s="13" t="s">
        <v>553</v>
      </c>
    </row>
    <row r="140" spans="1:12" s="13" customFormat="1" x14ac:dyDescent="0.3">
      <c r="A140" s="22" t="s">
        <v>22</v>
      </c>
      <c r="B140" s="13" t="s">
        <v>556</v>
      </c>
      <c r="C140" s="23" t="s">
        <v>68</v>
      </c>
      <c r="D140" s="13" t="s">
        <v>1072</v>
      </c>
      <c r="F140" s="13" t="s">
        <v>220</v>
      </c>
      <c r="G140" s="13" t="s">
        <v>380</v>
      </c>
      <c r="H140" s="13" t="s">
        <v>1273</v>
      </c>
      <c r="I140" s="13" t="s">
        <v>811</v>
      </c>
      <c r="J140" s="13" t="s">
        <v>1438</v>
      </c>
      <c r="K140" s="13" t="s">
        <v>1437</v>
      </c>
      <c r="L140" s="13" t="s">
        <v>380</v>
      </c>
    </row>
    <row r="141" spans="1:12" s="13" customFormat="1" x14ac:dyDescent="0.3">
      <c r="A141" s="22" t="s">
        <v>22</v>
      </c>
      <c r="B141" s="13" t="s">
        <v>557</v>
      </c>
      <c r="C141" s="23" t="s">
        <v>446</v>
      </c>
      <c r="D141" s="13" t="s">
        <v>1073</v>
      </c>
      <c r="F141" s="13" t="s">
        <v>220</v>
      </c>
      <c r="G141" s="13" t="s">
        <v>447</v>
      </c>
      <c r="H141" s="13" t="s">
        <v>1274</v>
      </c>
      <c r="I141" s="13" t="s">
        <v>812</v>
      </c>
      <c r="J141" s="13" t="s">
        <v>1437</v>
      </c>
      <c r="K141" s="13" t="s">
        <v>1438</v>
      </c>
      <c r="L141" s="13" t="s">
        <v>1469</v>
      </c>
    </row>
    <row r="142" spans="1:12" s="13" customFormat="1" x14ac:dyDescent="0.3">
      <c r="A142" s="22" t="s">
        <v>22</v>
      </c>
      <c r="B142" s="13" t="s">
        <v>558</v>
      </c>
      <c r="C142" s="23" t="s">
        <v>52</v>
      </c>
      <c r="D142" s="13" t="s">
        <v>1074</v>
      </c>
      <c r="F142" s="13" t="s">
        <v>220</v>
      </c>
      <c r="G142" s="13" t="s">
        <v>416</v>
      </c>
      <c r="H142" s="13" t="s">
        <v>1275</v>
      </c>
      <c r="I142" s="13" t="s">
        <v>813</v>
      </c>
      <c r="J142" s="13" t="s">
        <v>1437</v>
      </c>
      <c r="K142" s="13" t="s">
        <v>1438</v>
      </c>
      <c r="L142" s="13" t="s">
        <v>416</v>
      </c>
    </row>
    <row r="143" spans="1:12" s="13" customFormat="1" x14ac:dyDescent="0.3">
      <c r="A143" s="22" t="s">
        <v>22</v>
      </c>
      <c r="B143" s="13" t="s">
        <v>559</v>
      </c>
      <c r="C143" s="23" t="s">
        <v>448</v>
      </c>
      <c r="D143" s="13" t="s">
        <v>1075</v>
      </c>
      <c r="F143" s="13" t="s">
        <v>220</v>
      </c>
      <c r="G143" s="13" t="s">
        <v>449</v>
      </c>
      <c r="H143" s="13" t="s">
        <v>1276</v>
      </c>
      <c r="I143" s="13" t="s">
        <v>1064</v>
      </c>
      <c r="J143" s="13" t="s">
        <v>1437</v>
      </c>
      <c r="K143" s="13" t="s">
        <v>1438</v>
      </c>
      <c r="L143" s="13" t="s">
        <v>449</v>
      </c>
    </row>
    <row r="144" spans="1:12" s="13" customFormat="1" x14ac:dyDescent="0.3">
      <c r="A144" s="22" t="s">
        <v>22</v>
      </c>
      <c r="B144" s="13" t="s">
        <v>560</v>
      </c>
      <c r="C144" s="23" t="s">
        <v>450</v>
      </c>
      <c r="D144" s="13" t="s">
        <v>1076</v>
      </c>
      <c r="F144" s="13" t="s">
        <v>220</v>
      </c>
      <c r="G144" s="13" t="s">
        <v>383</v>
      </c>
      <c r="H144" s="13" t="s">
        <v>1277</v>
      </c>
      <c r="I144" s="13" t="s">
        <v>814</v>
      </c>
      <c r="J144" s="13" t="s">
        <v>1437</v>
      </c>
      <c r="K144" s="13" t="s">
        <v>1438</v>
      </c>
      <c r="L144" s="13" t="s">
        <v>383</v>
      </c>
    </row>
    <row r="145" spans="1:12" s="13" customFormat="1" x14ac:dyDescent="0.3">
      <c r="A145" s="22" t="s">
        <v>22</v>
      </c>
      <c r="B145" s="13" t="s">
        <v>561</v>
      </c>
      <c r="C145" s="23" t="s">
        <v>73</v>
      </c>
      <c r="D145" s="13" t="s">
        <v>1077</v>
      </c>
      <c r="F145" s="13" t="s">
        <v>220</v>
      </c>
      <c r="G145" s="13" t="s">
        <v>398</v>
      </c>
      <c r="H145" s="13" t="s">
        <v>1278</v>
      </c>
      <c r="I145" s="13" t="s">
        <v>815</v>
      </c>
      <c r="J145" s="13" t="s">
        <v>1437</v>
      </c>
      <c r="K145" s="13" t="s">
        <v>1438</v>
      </c>
      <c r="L145" s="13" t="s">
        <v>398</v>
      </c>
    </row>
    <row r="146" spans="1:12" s="13" customFormat="1" x14ac:dyDescent="0.3">
      <c r="A146" s="22" t="s">
        <v>22</v>
      </c>
      <c r="B146" s="13" t="s">
        <v>562</v>
      </c>
      <c r="C146" s="23" t="s">
        <v>153</v>
      </c>
      <c r="D146" s="13" t="s">
        <v>1078</v>
      </c>
      <c r="F146" s="13" t="s">
        <v>220</v>
      </c>
      <c r="G146" s="13" t="s">
        <v>182</v>
      </c>
      <c r="H146" s="13" t="s">
        <v>1279</v>
      </c>
      <c r="I146" s="13" t="s">
        <v>816</v>
      </c>
      <c r="J146" s="13" t="s">
        <v>1437</v>
      </c>
      <c r="K146" s="13" t="s">
        <v>1438</v>
      </c>
      <c r="L146" s="13" t="s">
        <v>182</v>
      </c>
    </row>
    <row r="147" spans="1:12" s="13" customFormat="1" x14ac:dyDescent="0.3">
      <c r="A147" s="22" t="s">
        <v>22</v>
      </c>
      <c r="B147" s="13" t="s">
        <v>563</v>
      </c>
      <c r="C147" s="23" t="s">
        <v>451</v>
      </c>
      <c r="D147" s="13" t="s">
        <v>1079</v>
      </c>
      <c r="F147" s="13" t="s">
        <v>220</v>
      </c>
      <c r="G147" s="13" t="s">
        <v>387</v>
      </c>
      <c r="H147" s="13" t="s">
        <v>1280</v>
      </c>
      <c r="I147" s="13" t="s">
        <v>817</v>
      </c>
      <c r="J147" s="13" t="s">
        <v>1437</v>
      </c>
      <c r="K147" s="13" t="s">
        <v>1438</v>
      </c>
      <c r="L147" s="13" t="s">
        <v>387</v>
      </c>
    </row>
    <row r="148" spans="1:12" s="13" customFormat="1" x14ac:dyDescent="0.3">
      <c r="A148" s="22" t="s">
        <v>22</v>
      </c>
      <c r="B148" s="13" t="s">
        <v>564</v>
      </c>
      <c r="C148" s="23" t="s">
        <v>452</v>
      </c>
      <c r="D148" s="13" t="s">
        <v>1080</v>
      </c>
      <c r="F148" s="13" t="s">
        <v>220</v>
      </c>
      <c r="G148" s="13" t="s">
        <v>453</v>
      </c>
      <c r="H148" s="13" t="s">
        <v>1281</v>
      </c>
      <c r="I148" s="13" t="s">
        <v>818</v>
      </c>
      <c r="J148" s="13" t="s">
        <v>1437</v>
      </c>
      <c r="K148" s="13" t="s">
        <v>1438</v>
      </c>
      <c r="L148" s="13" t="s">
        <v>453</v>
      </c>
    </row>
    <row r="149" spans="1:12" s="13" customFormat="1" x14ac:dyDescent="0.3">
      <c r="A149" s="22" t="s">
        <v>22</v>
      </c>
      <c r="B149" s="13" t="s">
        <v>565</v>
      </c>
      <c r="C149" s="23" t="s">
        <v>454</v>
      </c>
      <c r="D149" s="13" t="s">
        <v>1081</v>
      </c>
      <c r="F149" s="13" t="s">
        <v>220</v>
      </c>
      <c r="G149" s="13" t="s">
        <v>455</v>
      </c>
      <c r="H149" s="13" t="s">
        <v>1282</v>
      </c>
      <c r="I149" s="13" t="s">
        <v>1064</v>
      </c>
      <c r="J149" s="13" t="s">
        <v>1437</v>
      </c>
      <c r="K149" s="13" t="s">
        <v>1438</v>
      </c>
      <c r="L149" s="13" t="s">
        <v>455</v>
      </c>
    </row>
    <row r="150" spans="1:12" s="13" customFormat="1" x14ac:dyDescent="0.3">
      <c r="A150" s="22" t="s">
        <v>22</v>
      </c>
      <c r="B150" s="13" t="s">
        <v>566</v>
      </c>
      <c r="C150" s="23" t="s">
        <v>130</v>
      </c>
      <c r="D150" s="13" t="s">
        <v>1082</v>
      </c>
      <c r="F150" s="13" t="s">
        <v>220</v>
      </c>
      <c r="G150" s="13" t="s">
        <v>163</v>
      </c>
      <c r="H150" s="13" t="s">
        <v>1283</v>
      </c>
      <c r="I150" s="13" t="s">
        <v>819</v>
      </c>
      <c r="J150" s="13" t="s">
        <v>1437</v>
      </c>
      <c r="K150" s="13" t="s">
        <v>1438</v>
      </c>
      <c r="L150" s="13" t="s">
        <v>163</v>
      </c>
    </row>
    <row r="151" spans="1:12" s="13" customFormat="1" x14ac:dyDescent="0.3">
      <c r="A151" s="22" t="s">
        <v>22</v>
      </c>
      <c r="B151" s="13" t="s">
        <v>567</v>
      </c>
      <c r="C151" s="23" t="s">
        <v>53</v>
      </c>
      <c r="D151" s="13" t="s">
        <v>1083</v>
      </c>
      <c r="F151" s="13" t="s">
        <v>220</v>
      </c>
      <c r="G151" s="13" t="s">
        <v>417</v>
      </c>
      <c r="H151" s="13" t="s">
        <v>1284</v>
      </c>
      <c r="I151" s="13" t="s">
        <v>820</v>
      </c>
      <c r="J151" s="13" t="s">
        <v>1437</v>
      </c>
      <c r="K151" s="13" t="s">
        <v>1438</v>
      </c>
      <c r="L151" s="13" t="s">
        <v>417</v>
      </c>
    </row>
    <row r="152" spans="1:12" s="13" customFormat="1" x14ac:dyDescent="0.3">
      <c r="A152" s="22" t="s">
        <v>22</v>
      </c>
      <c r="B152" s="13" t="s">
        <v>568</v>
      </c>
      <c r="C152" s="23" t="s">
        <v>148</v>
      </c>
      <c r="D152" s="13" t="s">
        <v>1084</v>
      </c>
      <c r="F152" s="13" t="s">
        <v>220</v>
      </c>
      <c r="G152" s="13" t="s">
        <v>404</v>
      </c>
      <c r="H152" s="13" t="s">
        <v>1285</v>
      </c>
      <c r="I152" s="13" t="s">
        <v>821</v>
      </c>
      <c r="J152" s="13" t="s">
        <v>1437</v>
      </c>
      <c r="K152" s="13" t="s">
        <v>1438</v>
      </c>
      <c r="L152" s="13" t="s">
        <v>404</v>
      </c>
    </row>
    <row r="153" spans="1:12" s="13" customFormat="1" x14ac:dyDescent="0.3">
      <c r="A153" s="22" t="s">
        <v>22</v>
      </c>
      <c r="B153" s="13" t="s">
        <v>569</v>
      </c>
      <c r="C153" s="23" t="s">
        <v>70</v>
      </c>
      <c r="D153" s="13" t="s">
        <v>1085</v>
      </c>
      <c r="F153" s="13" t="s">
        <v>220</v>
      </c>
      <c r="G153" s="13" t="s">
        <v>382</v>
      </c>
      <c r="H153" s="13" t="s">
        <v>1286</v>
      </c>
      <c r="I153" s="13" t="s">
        <v>822</v>
      </c>
      <c r="J153" s="13" t="s">
        <v>1437</v>
      </c>
      <c r="K153" s="13" t="s">
        <v>1438</v>
      </c>
      <c r="L153" s="13" t="s">
        <v>382</v>
      </c>
    </row>
    <row r="154" spans="1:12" s="13" customFormat="1" x14ac:dyDescent="0.3">
      <c r="A154" s="22" t="s">
        <v>22</v>
      </c>
      <c r="B154" s="13" t="s">
        <v>570</v>
      </c>
      <c r="C154" s="23" t="s">
        <v>124</v>
      </c>
      <c r="D154" s="13" t="s">
        <v>1086</v>
      </c>
      <c r="F154" s="13" t="s">
        <v>220</v>
      </c>
      <c r="G154" s="13" t="s">
        <v>386</v>
      </c>
      <c r="H154" s="13" t="s">
        <v>1287</v>
      </c>
      <c r="I154" s="13" t="s">
        <v>823</v>
      </c>
      <c r="J154" s="13" t="s">
        <v>1437</v>
      </c>
      <c r="K154" s="13" t="s">
        <v>1438</v>
      </c>
      <c r="L154" s="13" t="s">
        <v>386</v>
      </c>
    </row>
    <row r="155" spans="1:12" s="13" customFormat="1" x14ac:dyDescent="0.3">
      <c r="A155" s="22" t="s">
        <v>22</v>
      </c>
      <c r="B155" s="13" t="s">
        <v>571</v>
      </c>
      <c r="C155" s="23" t="s">
        <v>456</v>
      </c>
      <c r="D155" s="13" t="s">
        <v>1087</v>
      </c>
      <c r="F155" s="13" t="s">
        <v>220</v>
      </c>
      <c r="G155" s="13" t="s">
        <v>457</v>
      </c>
      <c r="H155" s="13" t="s">
        <v>1288</v>
      </c>
      <c r="I155" s="13" t="s">
        <v>824</v>
      </c>
      <c r="J155" s="13" t="s">
        <v>1437</v>
      </c>
      <c r="K155" s="13" t="s">
        <v>1438</v>
      </c>
      <c r="L155" s="13" t="s">
        <v>457</v>
      </c>
    </row>
    <row r="156" spans="1:12" s="13" customFormat="1" x14ac:dyDescent="0.3">
      <c r="A156" s="22" t="s">
        <v>22</v>
      </c>
      <c r="B156" s="13" t="s">
        <v>572</v>
      </c>
      <c r="C156" s="23" t="s">
        <v>458</v>
      </c>
      <c r="D156" s="13" t="s">
        <v>1088</v>
      </c>
      <c r="F156" s="13" t="s">
        <v>220</v>
      </c>
      <c r="G156" s="13" t="s">
        <v>390</v>
      </c>
      <c r="H156" s="13" t="s">
        <v>1289</v>
      </c>
      <c r="I156" s="13" t="s">
        <v>825</v>
      </c>
      <c r="J156" s="13" t="s">
        <v>1437</v>
      </c>
      <c r="K156" s="13" t="s">
        <v>1438</v>
      </c>
      <c r="L156" s="13" t="s">
        <v>390</v>
      </c>
    </row>
    <row r="157" spans="1:12" s="13" customFormat="1" x14ac:dyDescent="0.3">
      <c r="A157" s="22" t="s">
        <v>22</v>
      </c>
      <c r="B157" s="13" t="s">
        <v>573</v>
      </c>
      <c r="C157" s="23" t="s">
        <v>213</v>
      </c>
      <c r="D157" s="13" t="s">
        <v>1089</v>
      </c>
      <c r="F157" s="13" t="s">
        <v>220</v>
      </c>
      <c r="G157" s="13" t="s">
        <v>212</v>
      </c>
      <c r="H157" s="13" t="s">
        <v>1290</v>
      </c>
      <c r="I157" s="13" t="s">
        <v>826</v>
      </c>
      <c r="J157" s="13" t="s">
        <v>1437</v>
      </c>
      <c r="K157" s="13" t="s">
        <v>1438</v>
      </c>
      <c r="L157" s="13" t="s">
        <v>212</v>
      </c>
    </row>
    <row r="158" spans="1:12" s="13" customFormat="1" x14ac:dyDescent="0.3">
      <c r="A158" s="22" t="s">
        <v>22</v>
      </c>
      <c r="B158" s="13" t="s">
        <v>827</v>
      </c>
      <c r="C158" s="23" t="s">
        <v>459</v>
      </c>
      <c r="D158" s="13" t="s">
        <v>1090</v>
      </c>
      <c r="F158" s="13" t="s">
        <v>220</v>
      </c>
      <c r="G158" s="13" t="s">
        <v>178</v>
      </c>
      <c r="H158" s="13" t="s">
        <v>1291</v>
      </c>
      <c r="I158" s="13" t="s">
        <v>828</v>
      </c>
      <c r="J158" s="13" t="s">
        <v>1437</v>
      </c>
      <c r="K158" s="13" t="s">
        <v>1438</v>
      </c>
      <c r="L158" s="13" t="s">
        <v>1470</v>
      </c>
    </row>
    <row r="159" spans="1:12" s="13" customFormat="1" x14ac:dyDescent="0.3">
      <c r="A159" s="22" t="s">
        <v>22</v>
      </c>
      <c r="B159" s="13" t="s">
        <v>574</v>
      </c>
      <c r="C159" s="23" t="s">
        <v>459</v>
      </c>
      <c r="D159" s="13" t="s">
        <v>1091</v>
      </c>
      <c r="F159" s="13" t="s">
        <v>220</v>
      </c>
      <c r="G159" s="13" t="s">
        <v>178</v>
      </c>
      <c r="H159" s="13" t="s">
        <v>1292</v>
      </c>
      <c r="I159" s="13" t="s">
        <v>922</v>
      </c>
      <c r="J159" s="13" t="s">
        <v>1437</v>
      </c>
      <c r="K159" s="13" t="s">
        <v>1438</v>
      </c>
      <c r="L159" s="13" t="s">
        <v>1471</v>
      </c>
    </row>
    <row r="160" spans="1:12" s="13" customFormat="1" x14ac:dyDescent="0.3">
      <c r="A160" s="22" t="s">
        <v>22</v>
      </c>
      <c r="B160" s="13" t="s">
        <v>575</v>
      </c>
      <c r="C160" s="23" t="s">
        <v>459</v>
      </c>
      <c r="D160" s="13" t="s">
        <v>1092</v>
      </c>
      <c r="F160" s="13" t="s">
        <v>220</v>
      </c>
      <c r="G160" s="13" t="s">
        <v>178</v>
      </c>
      <c r="H160" s="13" t="s">
        <v>1293</v>
      </c>
      <c r="I160" s="13" t="s">
        <v>829</v>
      </c>
      <c r="J160" s="13" t="s">
        <v>1437</v>
      </c>
      <c r="K160" s="13" t="s">
        <v>1438</v>
      </c>
      <c r="L160" s="13" t="s">
        <v>1472</v>
      </c>
    </row>
    <row r="161" spans="1:12" s="13" customFormat="1" x14ac:dyDescent="0.3">
      <c r="A161" s="22" t="s">
        <v>22</v>
      </c>
      <c r="B161" s="13" t="s">
        <v>576</v>
      </c>
      <c r="C161" s="23" t="s">
        <v>460</v>
      </c>
      <c r="D161" s="13" t="s">
        <v>1093</v>
      </c>
      <c r="F161" s="13" t="s">
        <v>220</v>
      </c>
      <c r="G161" s="13" t="s">
        <v>209</v>
      </c>
      <c r="H161" s="13" t="s">
        <v>1294</v>
      </c>
      <c r="I161" s="13" t="s">
        <v>830</v>
      </c>
      <c r="J161" s="13" t="s">
        <v>1437</v>
      </c>
      <c r="K161" s="13" t="s">
        <v>1438</v>
      </c>
      <c r="L161" s="13" t="s">
        <v>209</v>
      </c>
    </row>
    <row r="162" spans="1:12" s="13" customFormat="1" x14ac:dyDescent="0.3">
      <c r="A162" s="22" t="s">
        <v>22</v>
      </c>
      <c r="B162" s="13" t="s">
        <v>577</v>
      </c>
      <c r="C162" s="23" t="s">
        <v>461</v>
      </c>
      <c r="D162" s="13" t="s">
        <v>1094</v>
      </c>
      <c r="F162" s="13" t="s">
        <v>220</v>
      </c>
      <c r="G162" s="13" t="s">
        <v>462</v>
      </c>
      <c r="H162" s="13" t="s">
        <v>1295</v>
      </c>
      <c r="I162" s="13" t="s">
        <v>831</v>
      </c>
      <c r="J162" s="13" t="s">
        <v>1437</v>
      </c>
      <c r="K162" s="13" t="s">
        <v>1438</v>
      </c>
      <c r="L162" s="13" t="s">
        <v>462</v>
      </c>
    </row>
    <row r="163" spans="1:12" s="13" customFormat="1" x14ac:dyDescent="0.3">
      <c r="A163" s="22" t="s">
        <v>22</v>
      </c>
      <c r="B163" s="13" t="s">
        <v>578</v>
      </c>
      <c r="C163" s="23" t="s">
        <v>123</v>
      </c>
      <c r="D163" s="13" t="s">
        <v>1095</v>
      </c>
      <c r="F163" s="13" t="s">
        <v>220</v>
      </c>
      <c r="G163" s="13" t="s">
        <v>384</v>
      </c>
      <c r="H163" s="13" t="s">
        <v>1296</v>
      </c>
      <c r="I163" s="13" t="s">
        <v>832</v>
      </c>
      <c r="J163" s="13" t="s">
        <v>1437</v>
      </c>
      <c r="K163" s="13" t="s">
        <v>1438</v>
      </c>
      <c r="L163" s="13" t="s">
        <v>384</v>
      </c>
    </row>
    <row r="164" spans="1:12" s="13" customFormat="1" x14ac:dyDescent="0.3">
      <c r="A164" s="22" t="s">
        <v>22</v>
      </c>
      <c r="B164" s="13" t="s">
        <v>1516</v>
      </c>
      <c r="C164" s="23" t="s">
        <v>1517</v>
      </c>
      <c r="D164" s="13" t="s">
        <v>1518</v>
      </c>
      <c r="F164" s="13" t="s">
        <v>220</v>
      </c>
      <c r="G164" s="13" t="s">
        <v>1519</v>
      </c>
      <c r="H164" s="13" t="s">
        <v>1520</v>
      </c>
      <c r="I164" s="13" t="s">
        <v>1064</v>
      </c>
      <c r="J164" s="13" t="s">
        <v>1437</v>
      </c>
      <c r="K164" s="13" t="s">
        <v>1438</v>
      </c>
      <c r="L164" s="13" t="s">
        <v>1519</v>
      </c>
    </row>
    <row r="165" spans="1:12" s="13" customFormat="1" x14ac:dyDescent="0.3">
      <c r="A165" s="22" t="s">
        <v>22</v>
      </c>
      <c r="B165" s="13" t="s">
        <v>579</v>
      </c>
      <c r="C165" s="23" t="s">
        <v>1419</v>
      </c>
      <c r="D165" s="13" t="s">
        <v>1096</v>
      </c>
      <c r="F165" s="13" t="s">
        <v>220</v>
      </c>
      <c r="G165" s="13" t="s">
        <v>517</v>
      </c>
      <c r="H165" s="13" t="s">
        <v>1297</v>
      </c>
      <c r="I165" s="13" t="s">
        <v>833</v>
      </c>
      <c r="J165" s="13" t="s">
        <v>1437</v>
      </c>
      <c r="K165" s="13" t="s">
        <v>1438</v>
      </c>
      <c r="L165" s="13" t="s">
        <v>517</v>
      </c>
    </row>
    <row r="166" spans="1:12" s="13" customFormat="1" x14ac:dyDescent="0.3">
      <c r="A166" s="22" t="s">
        <v>22</v>
      </c>
      <c r="B166" s="13" t="s">
        <v>580</v>
      </c>
      <c r="C166" s="23" t="s">
        <v>62</v>
      </c>
      <c r="D166" s="13" t="s">
        <v>1097</v>
      </c>
      <c r="F166" s="13" t="s">
        <v>220</v>
      </c>
      <c r="G166" s="13" t="s">
        <v>161</v>
      </c>
      <c r="H166" s="13" t="s">
        <v>1298</v>
      </c>
      <c r="I166" s="13" t="s">
        <v>834</v>
      </c>
      <c r="J166" s="13" t="s">
        <v>1437</v>
      </c>
      <c r="K166" s="13" t="s">
        <v>1438</v>
      </c>
      <c r="L166" s="13" t="s">
        <v>161</v>
      </c>
    </row>
    <row r="167" spans="1:12" s="13" customFormat="1" x14ac:dyDescent="0.3">
      <c r="A167" s="22" t="s">
        <v>22</v>
      </c>
      <c r="B167" s="13" t="s">
        <v>581</v>
      </c>
      <c r="C167" s="23" t="s">
        <v>45</v>
      </c>
      <c r="D167" s="13" t="s">
        <v>1098</v>
      </c>
      <c r="F167" s="13" t="s">
        <v>220</v>
      </c>
      <c r="G167" s="13" t="s">
        <v>168</v>
      </c>
      <c r="H167" s="13" t="s">
        <v>1299</v>
      </c>
      <c r="I167" s="13" t="s">
        <v>835</v>
      </c>
      <c r="J167" s="13" t="s">
        <v>1437</v>
      </c>
      <c r="K167" s="13" t="s">
        <v>1438</v>
      </c>
      <c r="L167" s="13" t="s">
        <v>168</v>
      </c>
    </row>
    <row r="168" spans="1:12" s="13" customFormat="1" x14ac:dyDescent="0.3">
      <c r="A168" s="22" t="s">
        <v>22</v>
      </c>
      <c r="B168" s="13" t="s">
        <v>582</v>
      </c>
      <c r="C168" s="23" t="s">
        <v>48</v>
      </c>
      <c r="D168" s="13" t="s">
        <v>1099</v>
      </c>
      <c r="F168" s="13" t="s">
        <v>220</v>
      </c>
      <c r="G168" s="13" t="s">
        <v>395</v>
      </c>
      <c r="H168" s="13" t="s">
        <v>1300</v>
      </c>
      <c r="I168" s="13" t="s">
        <v>836</v>
      </c>
      <c r="J168" s="13" t="s">
        <v>1437</v>
      </c>
      <c r="K168" s="13" t="s">
        <v>1438</v>
      </c>
      <c r="L168" s="13" t="s">
        <v>395</v>
      </c>
    </row>
    <row r="169" spans="1:12" s="13" customFormat="1" x14ac:dyDescent="0.3">
      <c r="A169" s="22" t="s">
        <v>22</v>
      </c>
      <c r="B169" s="13" t="s">
        <v>583</v>
      </c>
      <c r="C169" s="23" t="s">
        <v>152</v>
      </c>
      <c r="D169" s="13" t="s">
        <v>1100</v>
      </c>
      <c r="F169" s="13" t="s">
        <v>220</v>
      </c>
      <c r="G169" s="13" t="s">
        <v>396</v>
      </c>
      <c r="H169" s="13" t="s">
        <v>1301</v>
      </c>
      <c r="I169" s="13" t="s">
        <v>837</v>
      </c>
      <c r="J169" s="13" t="s">
        <v>1437</v>
      </c>
      <c r="K169" s="13" t="s">
        <v>1438</v>
      </c>
      <c r="L169" s="13" t="s">
        <v>396</v>
      </c>
    </row>
    <row r="170" spans="1:12" s="13" customFormat="1" x14ac:dyDescent="0.3">
      <c r="A170" s="22" t="s">
        <v>22</v>
      </c>
      <c r="B170" s="13" t="s">
        <v>584</v>
      </c>
      <c r="C170" s="23" t="s">
        <v>131</v>
      </c>
      <c r="D170" s="13" t="s">
        <v>1102</v>
      </c>
      <c r="F170" s="13" t="s">
        <v>220</v>
      </c>
      <c r="G170" s="13" t="s">
        <v>175</v>
      </c>
      <c r="H170" s="13" t="s">
        <v>1303</v>
      </c>
      <c r="I170" s="13" t="s">
        <v>838</v>
      </c>
      <c r="J170" s="13" t="s">
        <v>1437</v>
      </c>
      <c r="K170" s="13" t="s">
        <v>1438</v>
      </c>
      <c r="L170" s="13" t="s">
        <v>175</v>
      </c>
    </row>
    <row r="171" spans="1:12" s="13" customFormat="1" x14ac:dyDescent="0.3">
      <c r="A171" s="22" t="s">
        <v>22</v>
      </c>
      <c r="B171" s="13" t="s">
        <v>585</v>
      </c>
      <c r="C171" s="23" t="s">
        <v>71</v>
      </c>
      <c r="D171" s="13" t="s">
        <v>1103</v>
      </c>
      <c r="F171" s="13" t="s">
        <v>220</v>
      </c>
      <c r="G171" s="13" t="s">
        <v>406</v>
      </c>
      <c r="H171" s="13" t="s">
        <v>1304</v>
      </c>
      <c r="I171" s="13" t="s">
        <v>839</v>
      </c>
      <c r="J171" s="13" t="s">
        <v>1437</v>
      </c>
      <c r="K171" s="13" t="s">
        <v>1438</v>
      </c>
      <c r="L171" s="13" t="s">
        <v>406</v>
      </c>
    </row>
    <row r="172" spans="1:12" s="13" customFormat="1" x14ac:dyDescent="0.3">
      <c r="A172" s="22" t="s">
        <v>22</v>
      </c>
      <c r="B172" s="13" t="s">
        <v>586</v>
      </c>
      <c r="C172" s="23" t="s">
        <v>214</v>
      </c>
      <c r="D172" s="13" t="s">
        <v>1104</v>
      </c>
      <c r="F172" s="13" t="s">
        <v>220</v>
      </c>
      <c r="G172" s="13" t="s">
        <v>407</v>
      </c>
      <c r="H172" s="13" t="s">
        <v>1305</v>
      </c>
      <c r="I172" s="13" t="s">
        <v>840</v>
      </c>
      <c r="J172" s="13" t="s">
        <v>1437</v>
      </c>
      <c r="K172" s="13" t="s">
        <v>1438</v>
      </c>
      <c r="L172" s="13" t="s">
        <v>407</v>
      </c>
    </row>
    <row r="173" spans="1:12" s="13" customFormat="1" x14ac:dyDescent="0.3">
      <c r="A173" s="22" t="s">
        <v>22</v>
      </c>
      <c r="B173" s="13" t="s">
        <v>587</v>
      </c>
      <c r="C173" s="23" t="s">
        <v>463</v>
      </c>
      <c r="D173" s="13" t="s">
        <v>1105</v>
      </c>
      <c r="F173" s="13" t="s">
        <v>220</v>
      </c>
      <c r="G173" s="13" t="s">
        <v>464</v>
      </c>
      <c r="H173" s="13" t="s">
        <v>1306</v>
      </c>
      <c r="I173" s="13" t="s">
        <v>841</v>
      </c>
      <c r="J173" s="13" t="s">
        <v>1437</v>
      </c>
      <c r="K173" s="13" t="s">
        <v>1438</v>
      </c>
      <c r="L173" s="13" t="s">
        <v>464</v>
      </c>
    </row>
    <row r="174" spans="1:12" s="13" customFormat="1" x14ac:dyDescent="0.3">
      <c r="A174" s="22" t="s">
        <v>22</v>
      </c>
      <c r="B174" s="13" t="s">
        <v>588</v>
      </c>
      <c r="C174" s="23" t="s">
        <v>465</v>
      </c>
      <c r="D174" s="13" t="s">
        <v>1106</v>
      </c>
      <c r="F174" s="13" t="s">
        <v>220</v>
      </c>
      <c r="G174" s="13" t="s">
        <v>466</v>
      </c>
      <c r="H174" s="13" t="s">
        <v>1307</v>
      </c>
      <c r="I174" s="13" t="s">
        <v>1064</v>
      </c>
      <c r="J174" s="13" t="s">
        <v>1437</v>
      </c>
      <c r="K174" s="13" t="s">
        <v>1438</v>
      </c>
      <c r="L174" s="13" t="s">
        <v>466</v>
      </c>
    </row>
    <row r="175" spans="1:12" s="13" customFormat="1" x14ac:dyDescent="0.3">
      <c r="A175" s="22" t="s">
        <v>22</v>
      </c>
      <c r="B175" s="13" t="s">
        <v>589</v>
      </c>
      <c r="C175" s="23" t="s">
        <v>467</v>
      </c>
      <c r="D175" s="13" t="s">
        <v>1107</v>
      </c>
      <c r="F175" s="13" t="s">
        <v>220</v>
      </c>
      <c r="G175" s="13" t="s">
        <v>392</v>
      </c>
      <c r="H175" s="13" t="s">
        <v>1308</v>
      </c>
      <c r="I175" s="13" t="s">
        <v>1064</v>
      </c>
      <c r="J175" s="13" t="s">
        <v>1437</v>
      </c>
      <c r="K175" s="13" t="s">
        <v>1438</v>
      </c>
      <c r="L175" s="13" t="s">
        <v>392</v>
      </c>
    </row>
    <row r="176" spans="1:12" s="13" customFormat="1" x14ac:dyDescent="0.3">
      <c r="A176" s="22" t="s">
        <v>22</v>
      </c>
      <c r="B176" s="13" t="s">
        <v>590</v>
      </c>
      <c r="C176" s="23" t="s">
        <v>207</v>
      </c>
      <c r="D176" s="13" t="s">
        <v>1108</v>
      </c>
      <c r="F176" s="13" t="s">
        <v>220</v>
      </c>
      <c r="G176" s="13" t="s">
        <v>468</v>
      </c>
      <c r="H176" s="13" t="s">
        <v>1309</v>
      </c>
      <c r="I176" s="13" t="s">
        <v>1064</v>
      </c>
      <c r="J176" s="13" t="s">
        <v>1437</v>
      </c>
      <c r="K176" s="13" t="s">
        <v>1438</v>
      </c>
      <c r="L176" s="13" t="s">
        <v>468</v>
      </c>
    </row>
    <row r="177" spans="1:12" s="13" customFormat="1" x14ac:dyDescent="0.3">
      <c r="A177" s="22" t="s">
        <v>22</v>
      </c>
      <c r="B177" s="13" t="s">
        <v>591</v>
      </c>
      <c r="C177" s="23" t="s">
        <v>189</v>
      </c>
      <c r="D177" s="13" t="s">
        <v>1109</v>
      </c>
      <c r="F177" s="13" t="s">
        <v>220</v>
      </c>
      <c r="G177" s="13" t="s">
        <v>397</v>
      </c>
      <c r="H177" s="13" t="s">
        <v>1310</v>
      </c>
      <c r="I177" s="13" t="s">
        <v>842</v>
      </c>
      <c r="J177" s="13" t="s">
        <v>1437</v>
      </c>
      <c r="K177" s="13" t="s">
        <v>1438</v>
      </c>
      <c r="L177" s="13" t="s">
        <v>397</v>
      </c>
    </row>
    <row r="178" spans="1:12" s="13" customFormat="1" x14ac:dyDescent="0.3">
      <c r="A178" s="22" t="s">
        <v>22</v>
      </c>
      <c r="B178" s="13" t="s">
        <v>592</v>
      </c>
      <c r="C178" s="23" t="s">
        <v>46</v>
      </c>
      <c r="D178" s="13" t="s">
        <v>1110</v>
      </c>
      <c r="F178" s="13" t="s">
        <v>220</v>
      </c>
      <c r="G178" s="13" t="s">
        <v>170</v>
      </c>
      <c r="H178" s="13" t="s">
        <v>1311</v>
      </c>
      <c r="I178" s="13" t="s">
        <v>843</v>
      </c>
      <c r="J178" s="13" t="s">
        <v>1437</v>
      </c>
      <c r="K178" s="13" t="s">
        <v>1438</v>
      </c>
      <c r="L178" s="13" t="s">
        <v>170</v>
      </c>
    </row>
    <row r="179" spans="1:12" s="13" customFormat="1" x14ac:dyDescent="0.3">
      <c r="A179" s="22" t="s">
        <v>22</v>
      </c>
      <c r="B179" s="13" t="s">
        <v>924</v>
      </c>
      <c r="C179" s="23" t="s">
        <v>201</v>
      </c>
      <c r="D179" s="13" t="s">
        <v>1111</v>
      </c>
      <c r="F179" s="13" t="s">
        <v>220</v>
      </c>
      <c r="G179" s="13" t="s">
        <v>201</v>
      </c>
      <c r="H179" s="13" t="s">
        <v>923</v>
      </c>
      <c r="I179" s="13" t="s">
        <v>925</v>
      </c>
      <c r="J179" s="13" t="s">
        <v>1437</v>
      </c>
      <c r="K179" s="13" t="s">
        <v>1438</v>
      </c>
      <c r="L179" s="13" t="s">
        <v>201</v>
      </c>
    </row>
    <row r="180" spans="1:12" s="13" customFormat="1" x14ac:dyDescent="0.3">
      <c r="A180" s="22" t="s">
        <v>22</v>
      </c>
      <c r="B180" s="13" t="s">
        <v>593</v>
      </c>
      <c r="C180" s="23" t="s">
        <v>79</v>
      </c>
      <c r="D180" s="13" t="s">
        <v>1112</v>
      </c>
      <c r="F180" s="13" t="s">
        <v>220</v>
      </c>
      <c r="G180" s="13" t="s">
        <v>171</v>
      </c>
      <c r="H180" s="13" t="s">
        <v>1312</v>
      </c>
      <c r="I180" s="13" t="s">
        <v>844</v>
      </c>
      <c r="J180" s="13" t="s">
        <v>1437</v>
      </c>
      <c r="K180" s="13" t="s">
        <v>1438</v>
      </c>
      <c r="L180" s="13" t="s">
        <v>171</v>
      </c>
    </row>
    <row r="181" spans="1:12" s="13" customFormat="1" x14ac:dyDescent="0.3">
      <c r="A181" s="22" t="s">
        <v>22</v>
      </c>
      <c r="B181" s="13" t="s">
        <v>594</v>
      </c>
      <c r="C181" s="23" t="s">
        <v>74</v>
      </c>
      <c r="D181" s="13" t="s">
        <v>1113</v>
      </c>
      <c r="F181" s="13" t="s">
        <v>220</v>
      </c>
      <c r="G181" s="13" t="s">
        <v>184</v>
      </c>
      <c r="H181" s="13" t="s">
        <v>1313</v>
      </c>
      <c r="I181" s="13" t="s">
        <v>845</v>
      </c>
      <c r="J181" s="13" t="s">
        <v>1437</v>
      </c>
      <c r="K181" s="13" t="s">
        <v>1438</v>
      </c>
      <c r="L181" s="13" t="s">
        <v>1473</v>
      </c>
    </row>
    <row r="182" spans="1:12" s="13" customFormat="1" x14ac:dyDescent="0.3">
      <c r="A182" s="22" t="s">
        <v>22</v>
      </c>
      <c r="B182" s="13" t="s">
        <v>926</v>
      </c>
      <c r="C182" s="23" t="s">
        <v>43</v>
      </c>
      <c r="D182" s="13" t="s">
        <v>1114</v>
      </c>
      <c r="F182" s="13" t="s">
        <v>220</v>
      </c>
      <c r="G182" s="13" t="s">
        <v>166</v>
      </c>
      <c r="H182" s="13" t="s">
        <v>1314</v>
      </c>
      <c r="I182" s="13" t="s">
        <v>927</v>
      </c>
      <c r="J182" s="13" t="s">
        <v>1437</v>
      </c>
      <c r="K182" s="13" t="s">
        <v>1438</v>
      </c>
      <c r="L182" s="13" t="s">
        <v>166</v>
      </c>
    </row>
    <row r="183" spans="1:12" s="13" customFormat="1" x14ac:dyDescent="0.3">
      <c r="A183" s="22" t="s">
        <v>22</v>
      </c>
      <c r="B183" s="13" t="s">
        <v>595</v>
      </c>
      <c r="C183" s="23" t="s">
        <v>126</v>
      </c>
      <c r="D183" s="13" t="s">
        <v>1115</v>
      </c>
      <c r="F183" s="13" t="s">
        <v>220</v>
      </c>
      <c r="G183" s="13" t="s">
        <v>425</v>
      </c>
      <c r="H183" s="13" t="s">
        <v>1315</v>
      </c>
      <c r="I183" s="13" t="s">
        <v>846</v>
      </c>
      <c r="J183" s="13" t="s">
        <v>1437</v>
      </c>
      <c r="K183" s="13" t="s">
        <v>1438</v>
      </c>
      <c r="L183" s="13" t="s">
        <v>425</v>
      </c>
    </row>
    <row r="184" spans="1:12" s="13" customFormat="1" x14ac:dyDescent="0.3">
      <c r="A184" s="22" t="s">
        <v>22</v>
      </c>
      <c r="B184" s="13" t="s">
        <v>596</v>
      </c>
      <c r="C184" s="23" t="s">
        <v>65</v>
      </c>
      <c r="D184" s="13" t="s">
        <v>1116</v>
      </c>
      <c r="F184" s="13" t="s">
        <v>220</v>
      </c>
      <c r="G184" s="13" t="s">
        <v>426</v>
      </c>
      <c r="H184" s="13" t="s">
        <v>1316</v>
      </c>
      <c r="I184" s="13" t="s">
        <v>847</v>
      </c>
      <c r="J184" s="13" t="s">
        <v>1437</v>
      </c>
      <c r="K184" s="13" t="s">
        <v>1438</v>
      </c>
      <c r="L184" s="13" t="s">
        <v>426</v>
      </c>
    </row>
    <row r="185" spans="1:12" s="13" customFormat="1" x14ac:dyDescent="0.3">
      <c r="A185" s="22" t="s">
        <v>22</v>
      </c>
      <c r="B185" s="13" t="s">
        <v>597</v>
      </c>
      <c r="C185" s="23" t="s">
        <v>95</v>
      </c>
      <c r="D185" s="13" t="s">
        <v>1117</v>
      </c>
      <c r="F185" s="13" t="s">
        <v>220</v>
      </c>
      <c r="G185" s="13" t="s">
        <v>172</v>
      </c>
      <c r="H185" s="13" t="s">
        <v>1317</v>
      </c>
      <c r="I185" s="13" t="s">
        <v>848</v>
      </c>
      <c r="J185" s="13" t="s">
        <v>1437</v>
      </c>
      <c r="K185" s="13" t="s">
        <v>1438</v>
      </c>
      <c r="L185" s="13" t="s">
        <v>172</v>
      </c>
    </row>
    <row r="186" spans="1:12" s="13" customFormat="1" x14ac:dyDescent="0.3">
      <c r="A186" s="22" t="s">
        <v>22</v>
      </c>
      <c r="B186" s="13" t="s">
        <v>598</v>
      </c>
      <c r="C186" s="23" t="s">
        <v>527</v>
      </c>
      <c r="D186" s="13" t="s">
        <v>1420</v>
      </c>
      <c r="F186" s="13" t="s">
        <v>220</v>
      </c>
      <c r="G186" s="13" t="s">
        <v>1526</v>
      </c>
      <c r="H186" s="13" t="s">
        <v>1318</v>
      </c>
      <c r="I186" s="13" t="s">
        <v>849</v>
      </c>
      <c r="J186" s="13" t="s">
        <v>1437</v>
      </c>
      <c r="K186" s="13" t="s">
        <v>1438</v>
      </c>
      <c r="L186" s="13" t="s">
        <v>1526</v>
      </c>
    </row>
    <row r="187" spans="1:12" s="13" customFormat="1" x14ac:dyDescent="0.3">
      <c r="A187" s="22" t="s">
        <v>22</v>
      </c>
      <c r="B187" s="13" t="s">
        <v>599</v>
      </c>
      <c r="C187" s="23" t="s">
        <v>142</v>
      </c>
      <c r="D187" s="13" t="s">
        <v>1118</v>
      </c>
      <c r="F187" s="13" t="s">
        <v>220</v>
      </c>
      <c r="G187" s="13" t="s">
        <v>403</v>
      </c>
      <c r="H187" s="13" t="s">
        <v>1319</v>
      </c>
      <c r="I187" s="13" t="s">
        <v>928</v>
      </c>
      <c r="J187" s="13" t="s">
        <v>1437</v>
      </c>
      <c r="K187" s="13" t="s">
        <v>1438</v>
      </c>
      <c r="L187" s="13" t="s">
        <v>403</v>
      </c>
    </row>
    <row r="188" spans="1:12" s="13" customFormat="1" x14ac:dyDescent="0.3">
      <c r="A188" s="22" t="s">
        <v>22</v>
      </c>
      <c r="B188" s="13" t="s">
        <v>600</v>
      </c>
      <c r="C188" s="23" t="s">
        <v>111</v>
      </c>
      <c r="D188" s="13" t="s">
        <v>1119</v>
      </c>
      <c r="F188" s="13" t="s">
        <v>220</v>
      </c>
      <c r="G188" s="13" t="s">
        <v>176</v>
      </c>
      <c r="H188" s="13" t="s">
        <v>1320</v>
      </c>
      <c r="I188" s="13" t="s">
        <v>850</v>
      </c>
      <c r="J188" s="13" t="s">
        <v>1437</v>
      </c>
      <c r="K188" s="13" t="s">
        <v>1438</v>
      </c>
      <c r="L188" s="13" t="s">
        <v>176</v>
      </c>
    </row>
    <row r="189" spans="1:12" s="13" customFormat="1" x14ac:dyDescent="0.3">
      <c r="A189" s="22" t="s">
        <v>22</v>
      </c>
      <c r="B189" s="13" t="s">
        <v>601</v>
      </c>
      <c r="C189" s="23" t="s">
        <v>72</v>
      </c>
      <c r="D189" s="13" t="s">
        <v>1120</v>
      </c>
      <c r="F189" s="13" t="s">
        <v>220</v>
      </c>
      <c r="G189" s="13" t="s">
        <v>156</v>
      </c>
      <c r="H189" s="13" t="s">
        <v>1321</v>
      </c>
      <c r="I189" s="13" t="s">
        <v>851</v>
      </c>
      <c r="J189" s="13" t="s">
        <v>1437</v>
      </c>
      <c r="K189" s="13" t="s">
        <v>1438</v>
      </c>
      <c r="L189" s="13" t="s">
        <v>156</v>
      </c>
    </row>
    <row r="190" spans="1:12" s="13" customFormat="1" x14ac:dyDescent="0.3">
      <c r="A190" s="22" t="s">
        <v>22</v>
      </c>
      <c r="B190" s="13" t="s">
        <v>602</v>
      </c>
      <c r="C190" s="23" t="s">
        <v>108</v>
      </c>
      <c r="D190" s="13" t="s">
        <v>1121</v>
      </c>
      <c r="F190" s="13" t="s">
        <v>220</v>
      </c>
      <c r="G190" s="13" t="s">
        <v>157</v>
      </c>
      <c r="H190" s="13" t="s">
        <v>1322</v>
      </c>
      <c r="I190" s="13" t="s">
        <v>852</v>
      </c>
      <c r="J190" s="13" t="s">
        <v>1437</v>
      </c>
      <c r="K190" s="13" t="s">
        <v>1438</v>
      </c>
      <c r="L190" s="13" t="s">
        <v>157</v>
      </c>
    </row>
    <row r="191" spans="1:12" s="13" customFormat="1" x14ac:dyDescent="0.3">
      <c r="A191" s="22" t="s">
        <v>22</v>
      </c>
      <c r="B191" s="13" t="s">
        <v>603</v>
      </c>
      <c r="C191" s="23" t="s">
        <v>134</v>
      </c>
      <c r="D191" s="13" t="s">
        <v>1122</v>
      </c>
      <c r="F191" s="13" t="s">
        <v>220</v>
      </c>
      <c r="G191" s="13" t="s">
        <v>177</v>
      </c>
      <c r="H191" s="13" t="s">
        <v>1323</v>
      </c>
      <c r="I191" s="13" t="s">
        <v>853</v>
      </c>
      <c r="J191" s="13" t="s">
        <v>1437</v>
      </c>
      <c r="K191" s="13" t="s">
        <v>1438</v>
      </c>
      <c r="L191" s="13" t="s">
        <v>177</v>
      </c>
    </row>
    <row r="192" spans="1:12" s="13" customFormat="1" x14ac:dyDescent="0.3">
      <c r="A192" s="22" t="s">
        <v>22</v>
      </c>
      <c r="B192" s="13" t="s">
        <v>604</v>
      </c>
      <c r="C192" s="23" t="s">
        <v>57</v>
      </c>
      <c r="D192" s="13" t="s">
        <v>1123</v>
      </c>
      <c r="F192" s="13" t="s">
        <v>220</v>
      </c>
      <c r="G192" s="13" t="s">
        <v>427</v>
      </c>
      <c r="H192" s="13" t="s">
        <v>1324</v>
      </c>
      <c r="I192" s="13" t="s">
        <v>854</v>
      </c>
      <c r="J192" s="13" t="s">
        <v>1437</v>
      </c>
      <c r="K192" s="13" t="s">
        <v>1438</v>
      </c>
      <c r="L192" s="13" t="s">
        <v>427</v>
      </c>
    </row>
    <row r="193" spans="1:12" s="13" customFormat="1" x14ac:dyDescent="0.3">
      <c r="A193" s="22" t="s">
        <v>22</v>
      </c>
      <c r="B193" s="13" t="s">
        <v>605</v>
      </c>
      <c r="C193" s="23" t="s">
        <v>149</v>
      </c>
      <c r="D193" s="13" t="s">
        <v>1124</v>
      </c>
      <c r="F193" s="13" t="s">
        <v>220</v>
      </c>
      <c r="G193" s="13" t="s">
        <v>405</v>
      </c>
      <c r="H193" s="13" t="s">
        <v>1325</v>
      </c>
      <c r="I193" s="13" t="s">
        <v>855</v>
      </c>
      <c r="J193" s="13" t="s">
        <v>1437</v>
      </c>
      <c r="K193" s="13" t="s">
        <v>1438</v>
      </c>
      <c r="L193" s="13" t="s">
        <v>405</v>
      </c>
    </row>
    <row r="194" spans="1:12" s="13" customFormat="1" x14ac:dyDescent="0.3">
      <c r="A194" s="22" t="s">
        <v>22</v>
      </c>
      <c r="B194" s="13" t="s">
        <v>1421</v>
      </c>
      <c r="C194" s="23" t="s">
        <v>1422</v>
      </c>
      <c r="D194" s="13" t="s">
        <v>1423</v>
      </c>
      <c r="F194" s="13" t="s">
        <v>220</v>
      </c>
      <c r="G194" s="13" t="s">
        <v>1424</v>
      </c>
      <c r="H194" s="13" t="s">
        <v>1425</v>
      </c>
      <c r="I194" s="13" t="s">
        <v>1064</v>
      </c>
      <c r="J194" s="13" t="s">
        <v>1437</v>
      </c>
      <c r="K194" s="13" t="s">
        <v>1438</v>
      </c>
      <c r="L194" s="13" t="s">
        <v>1424</v>
      </c>
    </row>
    <row r="195" spans="1:12" s="13" customFormat="1" x14ac:dyDescent="0.3">
      <c r="A195" s="22" t="s">
        <v>22</v>
      </c>
      <c r="B195" s="13" t="s">
        <v>930</v>
      </c>
      <c r="C195" s="23" t="s">
        <v>194</v>
      </c>
      <c r="D195" s="13" t="s">
        <v>1125</v>
      </c>
      <c r="F195" s="13" t="s">
        <v>220</v>
      </c>
      <c r="G195" s="13" t="s">
        <v>469</v>
      </c>
      <c r="H195" s="13" t="s">
        <v>929</v>
      </c>
      <c r="I195" s="13" t="s">
        <v>931</v>
      </c>
      <c r="J195" s="13" t="s">
        <v>1438</v>
      </c>
      <c r="K195" s="13" t="s">
        <v>1437</v>
      </c>
      <c r="L195" s="13" t="s">
        <v>469</v>
      </c>
    </row>
    <row r="196" spans="1:12" s="13" customFormat="1" x14ac:dyDescent="0.3">
      <c r="A196" s="22" t="s">
        <v>22</v>
      </c>
      <c r="B196" s="13" t="s">
        <v>606</v>
      </c>
      <c r="C196" s="23" t="s">
        <v>140</v>
      </c>
      <c r="D196" s="13" t="s">
        <v>1126</v>
      </c>
      <c r="F196" s="13" t="s">
        <v>220</v>
      </c>
      <c r="G196" s="13" t="s">
        <v>379</v>
      </c>
      <c r="H196" s="13" t="s">
        <v>1326</v>
      </c>
      <c r="I196" s="13" t="s">
        <v>856</v>
      </c>
      <c r="J196" s="13" t="s">
        <v>1437</v>
      </c>
      <c r="K196" s="13" t="s">
        <v>1438</v>
      </c>
      <c r="L196" s="13" t="s">
        <v>379</v>
      </c>
    </row>
    <row r="197" spans="1:12" s="13" customFormat="1" x14ac:dyDescent="0.3">
      <c r="A197" s="22" t="s">
        <v>22</v>
      </c>
      <c r="B197" s="13" t="s">
        <v>607</v>
      </c>
      <c r="C197" s="23" t="s">
        <v>470</v>
      </c>
      <c r="D197" s="13" t="s">
        <v>1127</v>
      </c>
      <c r="F197" s="13" t="s">
        <v>220</v>
      </c>
      <c r="G197" s="13" t="s">
        <v>158</v>
      </c>
      <c r="H197" s="13" t="s">
        <v>1327</v>
      </c>
      <c r="I197" s="13" t="s">
        <v>857</v>
      </c>
      <c r="J197" s="13" t="s">
        <v>1437</v>
      </c>
      <c r="K197" s="13" t="s">
        <v>1438</v>
      </c>
      <c r="L197" s="13" t="s">
        <v>158</v>
      </c>
    </row>
    <row r="198" spans="1:12" s="13" customFormat="1" x14ac:dyDescent="0.3">
      <c r="A198" s="22" t="s">
        <v>22</v>
      </c>
      <c r="B198" s="13" t="s">
        <v>608</v>
      </c>
      <c r="C198" s="23" t="s">
        <v>198</v>
      </c>
      <c r="D198" s="13" t="s">
        <v>1128</v>
      </c>
      <c r="F198" s="13" t="s">
        <v>220</v>
      </c>
      <c r="G198" s="13" t="s">
        <v>378</v>
      </c>
      <c r="H198" s="13" t="s">
        <v>371</v>
      </c>
      <c r="I198" s="13" t="s">
        <v>858</v>
      </c>
      <c r="J198" s="13" t="s">
        <v>1437</v>
      </c>
      <c r="K198" s="13" t="s">
        <v>1438</v>
      </c>
      <c r="L198" s="13" t="s">
        <v>378</v>
      </c>
    </row>
    <row r="199" spans="1:12" s="13" customFormat="1" x14ac:dyDescent="0.3">
      <c r="A199" s="22" t="s">
        <v>22</v>
      </c>
      <c r="B199" s="13" t="s">
        <v>609</v>
      </c>
      <c r="C199" s="23" t="s">
        <v>192</v>
      </c>
      <c r="D199" s="13" t="s">
        <v>1129</v>
      </c>
      <c r="F199" s="13" t="s">
        <v>220</v>
      </c>
      <c r="G199" s="13" t="s">
        <v>471</v>
      </c>
      <c r="H199" s="13" t="s">
        <v>1328</v>
      </c>
      <c r="I199" s="13" t="s">
        <v>859</v>
      </c>
      <c r="J199" s="13" t="s">
        <v>1437</v>
      </c>
      <c r="K199" s="13" t="s">
        <v>1438</v>
      </c>
      <c r="L199" s="13" t="s">
        <v>471</v>
      </c>
    </row>
    <row r="200" spans="1:12" s="13" customFormat="1" x14ac:dyDescent="0.3">
      <c r="A200" s="22" t="s">
        <v>22</v>
      </c>
      <c r="B200" s="13" t="s">
        <v>610</v>
      </c>
      <c r="C200" s="23" t="s">
        <v>1005</v>
      </c>
      <c r="D200" s="13" t="s">
        <v>1130</v>
      </c>
      <c r="F200" s="13" t="s">
        <v>220</v>
      </c>
      <c r="G200" s="13" t="s">
        <v>215</v>
      </c>
      <c r="H200" s="13" t="s">
        <v>1329</v>
      </c>
      <c r="I200" s="13" t="s">
        <v>1064</v>
      </c>
      <c r="J200" s="13" t="s">
        <v>1437</v>
      </c>
      <c r="K200" s="13" t="s">
        <v>1438</v>
      </c>
      <c r="L200" s="13" t="s">
        <v>215</v>
      </c>
    </row>
    <row r="201" spans="1:12" s="13" customFormat="1" x14ac:dyDescent="0.3">
      <c r="A201" s="22" t="s">
        <v>22</v>
      </c>
      <c r="B201" s="13" t="s">
        <v>1007</v>
      </c>
      <c r="C201" s="23" t="s">
        <v>1006</v>
      </c>
      <c r="D201" s="13" t="s">
        <v>1131</v>
      </c>
      <c r="F201" s="13" t="s">
        <v>220</v>
      </c>
      <c r="G201" s="13" t="s">
        <v>410</v>
      </c>
      <c r="H201" s="13" t="s">
        <v>1330</v>
      </c>
      <c r="I201" s="13" t="s">
        <v>1008</v>
      </c>
      <c r="J201" s="13" t="s">
        <v>1437</v>
      </c>
      <c r="K201" s="13" t="s">
        <v>1438</v>
      </c>
      <c r="L201" s="13" t="s">
        <v>410</v>
      </c>
    </row>
    <row r="202" spans="1:12" s="13" customFormat="1" x14ac:dyDescent="0.3">
      <c r="A202" s="22" t="s">
        <v>22</v>
      </c>
      <c r="B202" s="13" t="s">
        <v>611</v>
      </c>
      <c r="C202" s="23" t="s">
        <v>47</v>
      </c>
      <c r="D202" s="13" t="s">
        <v>1132</v>
      </c>
      <c r="F202" s="13" t="s">
        <v>220</v>
      </c>
      <c r="G202" s="13" t="s">
        <v>179</v>
      </c>
      <c r="H202" s="13" t="s">
        <v>1331</v>
      </c>
      <c r="I202" s="13" t="s">
        <v>860</v>
      </c>
      <c r="J202" s="13" t="s">
        <v>1438</v>
      </c>
      <c r="K202" s="13" t="s">
        <v>1437</v>
      </c>
      <c r="L202" s="13" t="s">
        <v>179</v>
      </c>
    </row>
    <row r="203" spans="1:12" s="13" customFormat="1" x14ac:dyDescent="0.3">
      <c r="A203" s="22" t="s">
        <v>22</v>
      </c>
      <c r="B203" s="13" t="s">
        <v>612</v>
      </c>
      <c r="C203" s="23" t="s">
        <v>144</v>
      </c>
      <c r="D203" s="13" t="s">
        <v>1133</v>
      </c>
      <c r="F203" s="13" t="s">
        <v>220</v>
      </c>
      <c r="G203" s="13" t="s">
        <v>423</v>
      </c>
      <c r="H203" s="13" t="s">
        <v>1332</v>
      </c>
      <c r="I203" s="13" t="s">
        <v>861</v>
      </c>
      <c r="J203" s="13" t="s">
        <v>1437</v>
      </c>
      <c r="K203" s="13" t="s">
        <v>1438</v>
      </c>
      <c r="L203" s="13" t="s">
        <v>423</v>
      </c>
    </row>
    <row r="204" spans="1:12" s="13" customFormat="1" x14ac:dyDescent="0.3">
      <c r="A204" s="22" t="s">
        <v>22</v>
      </c>
      <c r="B204" s="13" t="s">
        <v>613</v>
      </c>
      <c r="C204" s="23" t="s">
        <v>472</v>
      </c>
      <c r="D204" s="13" t="s">
        <v>1134</v>
      </c>
      <c r="F204" s="13" t="s">
        <v>220</v>
      </c>
      <c r="G204" s="13" t="s">
        <v>447</v>
      </c>
      <c r="H204" s="13" t="s">
        <v>1333</v>
      </c>
      <c r="I204" s="13" t="s">
        <v>862</v>
      </c>
      <c r="J204" s="13" t="s">
        <v>1437</v>
      </c>
      <c r="K204" s="13" t="s">
        <v>1438</v>
      </c>
      <c r="L204" s="13" t="s">
        <v>1474</v>
      </c>
    </row>
    <row r="205" spans="1:12" s="13" customFormat="1" x14ac:dyDescent="0.3">
      <c r="A205" s="22" t="s">
        <v>22</v>
      </c>
      <c r="B205" s="13" t="s">
        <v>614</v>
      </c>
      <c r="C205" s="23" t="s">
        <v>103</v>
      </c>
      <c r="D205" s="13" t="s">
        <v>1135</v>
      </c>
      <c r="F205" s="13" t="s">
        <v>220</v>
      </c>
      <c r="G205" s="13" t="s">
        <v>164</v>
      </c>
      <c r="H205" s="13" t="s">
        <v>1334</v>
      </c>
      <c r="I205" s="13" t="s">
        <v>863</v>
      </c>
      <c r="J205" s="13" t="s">
        <v>1437</v>
      </c>
      <c r="K205" s="13" t="s">
        <v>1438</v>
      </c>
      <c r="L205" s="13" t="s">
        <v>164</v>
      </c>
    </row>
    <row r="206" spans="1:12" s="13" customFormat="1" x14ac:dyDescent="0.3">
      <c r="A206" s="22" t="s">
        <v>22</v>
      </c>
      <c r="B206" s="13" t="s">
        <v>615</v>
      </c>
      <c r="C206" s="23" t="s">
        <v>51</v>
      </c>
      <c r="D206" s="13" t="s">
        <v>1136</v>
      </c>
      <c r="F206" s="13" t="s">
        <v>220</v>
      </c>
      <c r="G206" s="13" t="s">
        <v>414</v>
      </c>
      <c r="H206" s="13" t="s">
        <v>1335</v>
      </c>
      <c r="I206" s="13" t="s">
        <v>864</v>
      </c>
      <c r="J206" s="13" t="s">
        <v>1437</v>
      </c>
      <c r="K206" s="13" t="s">
        <v>1438</v>
      </c>
      <c r="L206" s="13" t="s">
        <v>414</v>
      </c>
    </row>
    <row r="207" spans="1:12" s="13" customFormat="1" x14ac:dyDescent="0.3">
      <c r="A207" s="22" t="s">
        <v>22</v>
      </c>
      <c r="B207" s="13" t="s">
        <v>1011</v>
      </c>
      <c r="C207" s="23" t="s">
        <v>1009</v>
      </c>
      <c r="D207" s="13" t="s">
        <v>1137</v>
      </c>
      <c r="F207" s="13" t="s">
        <v>220</v>
      </c>
      <c r="G207" s="13" t="s">
        <v>1010</v>
      </c>
      <c r="H207" s="13" t="s">
        <v>1336</v>
      </c>
      <c r="I207" s="13" t="s">
        <v>1012</v>
      </c>
      <c r="J207" s="13" t="s">
        <v>1437</v>
      </c>
      <c r="K207" s="13" t="s">
        <v>1438</v>
      </c>
      <c r="L207" s="13" t="s">
        <v>1010</v>
      </c>
    </row>
    <row r="208" spans="1:12" s="13" customFormat="1" x14ac:dyDescent="0.3">
      <c r="A208" s="22" t="s">
        <v>22</v>
      </c>
      <c r="B208" s="13" t="s">
        <v>616</v>
      </c>
      <c r="C208" s="23" t="s">
        <v>1521</v>
      </c>
      <c r="D208" s="13" t="s">
        <v>1138</v>
      </c>
      <c r="F208" s="13" t="s">
        <v>220</v>
      </c>
      <c r="G208" s="13" t="s">
        <v>187</v>
      </c>
      <c r="H208" s="13" t="s">
        <v>1337</v>
      </c>
      <c r="I208" s="13" t="s">
        <v>865</v>
      </c>
      <c r="J208" s="13" t="s">
        <v>1437</v>
      </c>
      <c r="K208" s="13" t="s">
        <v>1438</v>
      </c>
      <c r="L208" s="13" t="s">
        <v>187</v>
      </c>
    </row>
    <row r="209" spans="1:12" s="13" customFormat="1" x14ac:dyDescent="0.3">
      <c r="A209" s="22" t="s">
        <v>22</v>
      </c>
      <c r="B209" s="13" t="s">
        <v>932</v>
      </c>
      <c r="C209" s="23" t="s">
        <v>193</v>
      </c>
      <c r="D209" s="13" t="s">
        <v>1139</v>
      </c>
      <c r="F209" s="13" t="s">
        <v>220</v>
      </c>
      <c r="G209" s="13" t="s">
        <v>473</v>
      </c>
      <c r="H209" s="13" t="s">
        <v>1338</v>
      </c>
      <c r="I209" s="13" t="s">
        <v>933</v>
      </c>
      <c r="J209" s="13" t="s">
        <v>1437</v>
      </c>
      <c r="K209" s="13" t="s">
        <v>1438</v>
      </c>
      <c r="L209" s="13" t="s">
        <v>473</v>
      </c>
    </row>
    <row r="210" spans="1:12" s="13" customFormat="1" x14ac:dyDescent="0.3">
      <c r="A210" s="22" t="s">
        <v>22</v>
      </c>
      <c r="B210" s="13" t="s">
        <v>617</v>
      </c>
      <c r="C210" s="23" t="s">
        <v>1013</v>
      </c>
      <c r="D210" s="13" t="s">
        <v>1140</v>
      </c>
      <c r="F210" s="13" t="s">
        <v>220</v>
      </c>
      <c r="G210" s="13" t="s">
        <v>169</v>
      </c>
      <c r="H210" s="13" t="s">
        <v>1339</v>
      </c>
      <c r="I210" s="13" t="s">
        <v>866</v>
      </c>
      <c r="J210" s="13" t="s">
        <v>1437</v>
      </c>
      <c r="K210" s="13" t="s">
        <v>1438</v>
      </c>
      <c r="L210" s="13" t="s">
        <v>169</v>
      </c>
    </row>
    <row r="211" spans="1:12" s="13" customFormat="1" x14ac:dyDescent="0.3">
      <c r="A211" s="22" t="s">
        <v>22</v>
      </c>
      <c r="B211" s="13" t="s">
        <v>618</v>
      </c>
      <c r="C211" s="23" t="s">
        <v>42</v>
      </c>
      <c r="D211" s="13" t="s">
        <v>1141</v>
      </c>
      <c r="F211" s="13" t="s">
        <v>220</v>
      </c>
      <c r="G211" s="13" t="s">
        <v>160</v>
      </c>
      <c r="H211" s="13" t="s">
        <v>1340</v>
      </c>
      <c r="I211" s="13" t="s">
        <v>867</v>
      </c>
      <c r="J211" s="13" t="s">
        <v>1437</v>
      </c>
      <c r="K211" s="13" t="s">
        <v>1438</v>
      </c>
      <c r="L211" s="13" t="s">
        <v>160</v>
      </c>
    </row>
    <row r="212" spans="1:12" s="13" customFormat="1" x14ac:dyDescent="0.3">
      <c r="A212" s="22" t="s">
        <v>22</v>
      </c>
      <c r="B212" s="13" t="s">
        <v>619</v>
      </c>
      <c r="C212" s="23" t="s">
        <v>474</v>
      </c>
      <c r="D212" s="13" t="s">
        <v>1142</v>
      </c>
      <c r="F212" s="13" t="s">
        <v>220</v>
      </c>
      <c r="G212" s="13" t="s">
        <v>475</v>
      </c>
      <c r="H212" s="13" t="s">
        <v>1341</v>
      </c>
      <c r="I212" s="13" t="s">
        <v>868</v>
      </c>
      <c r="J212" s="13" t="s">
        <v>1437</v>
      </c>
      <c r="K212" s="13" t="s">
        <v>1438</v>
      </c>
      <c r="L212" s="13" t="s">
        <v>475</v>
      </c>
    </row>
    <row r="213" spans="1:12" s="13" customFormat="1" x14ac:dyDescent="0.3">
      <c r="A213" s="22" t="s">
        <v>22</v>
      </c>
      <c r="B213" s="13" t="s">
        <v>620</v>
      </c>
      <c r="C213" s="23" t="s">
        <v>476</v>
      </c>
      <c r="D213" s="13" t="s">
        <v>1143</v>
      </c>
      <c r="F213" s="13" t="s">
        <v>220</v>
      </c>
      <c r="G213" s="13" t="s">
        <v>402</v>
      </c>
      <c r="H213" s="13" t="s">
        <v>1342</v>
      </c>
      <c r="I213" s="13" t="s">
        <v>869</v>
      </c>
      <c r="J213" s="13" t="s">
        <v>1437</v>
      </c>
      <c r="K213" s="13" t="s">
        <v>1438</v>
      </c>
      <c r="L213" s="13" t="s">
        <v>402</v>
      </c>
    </row>
    <row r="214" spans="1:12" s="13" customFormat="1" x14ac:dyDescent="0.3">
      <c r="A214" s="22" t="s">
        <v>22</v>
      </c>
      <c r="B214" s="13" t="s">
        <v>621</v>
      </c>
      <c r="C214" s="23" t="s">
        <v>147</v>
      </c>
      <c r="D214" s="13" t="s">
        <v>1144</v>
      </c>
      <c r="F214" s="13" t="s">
        <v>220</v>
      </c>
      <c r="G214" s="13" t="s">
        <v>400</v>
      </c>
      <c r="H214" s="13" t="s">
        <v>1343</v>
      </c>
      <c r="I214" s="13" t="s">
        <v>870</v>
      </c>
      <c r="J214" s="13" t="s">
        <v>1437</v>
      </c>
      <c r="K214" s="13" t="s">
        <v>1438</v>
      </c>
      <c r="L214" s="13" t="s">
        <v>400</v>
      </c>
    </row>
    <row r="215" spans="1:12" s="13" customFormat="1" x14ac:dyDescent="0.3">
      <c r="A215" s="22" t="s">
        <v>22</v>
      </c>
      <c r="B215" s="13" t="s">
        <v>622</v>
      </c>
      <c r="C215" s="23" t="s">
        <v>66</v>
      </c>
      <c r="D215" s="13" t="s">
        <v>1145</v>
      </c>
      <c r="F215" s="13" t="s">
        <v>220</v>
      </c>
      <c r="G215" s="13" t="s">
        <v>428</v>
      </c>
      <c r="H215" s="13" t="s">
        <v>1344</v>
      </c>
      <c r="I215" s="13" t="s">
        <v>871</v>
      </c>
      <c r="J215" s="13" t="s">
        <v>1437</v>
      </c>
      <c r="K215" s="13" t="s">
        <v>1438</v>
      </c>
      <c r="L215" s="13" t="s">
        <v>428</v>
      </c>
    </row>
    <row r="216" spans="1:12" s="13" customFormat="1" x14ac:dyDescent="0.3">
      <c r="A216" s="22" t="s">
        <v>22</v>
      </c>
      <c r="B216" s="13" t="s">
        <v>623</v>
      </c>
      <c r="C216" s="23" t="s">
        <v>109</v>
      </c>
      <c r="D216" s="13" t="s">
        <v>1146</v>
      </c>
      <c r="F216" s="13" t="s">
        <v>220</v>
      </c>
      <c r="G216" s="13" t="s">
        <v>401</v>
      </c>
      <c r="H216" s="13" t="s">
        <v>1345</v>
      </c>
      <c r="I216" s="13" t="s">
        <v>872</v>
      </c>
      <c r="J216" s="13" t="s">
        <v>1437</v>
      </c>
      <c r="K216" s="13" t="s">
        <v>1438</v>
      </c>
      <c r="L216" s="13" t="s">
        <v>401</v>
      </c>
    </row>
    <row r="217" spans="1:12" s="13" customFormat="1" x14ac:dyDescent="0.3">
      <c r="A217" s="22" t="s">
        <v>22</v>
      </c>
      <c r="B217" s="13" t="s">
        <v>624</v>
      </c>
      <c r="C217" s="23" t="s">
        <v>1493</v>
      </c>
      <c r="D217" s="13" t="s">
        <v>1494</v>
      </c>
      <c r="F217" s="13" t="s">
        <v>220</v>
      </c>
      <c r="G217" s="13" t="s">
        <v>1475</v>
      </c>
      <c r="H217" s="13" t="s">
        <v>1346</v>
      </c>
      <c r="I217" s="13" t="s">
        <v>873</v>
      </c>
      <c r="J217" s="13" t="s">
        <v>1437</v>
      </c>
      <c r="K217" s="13" t="s">
        <v>1438</v>
      </c>
      <c r="L217" s="13" t="s">
        <v>1475</v>
      </c>
    </row>
    <row r="218" spans="1:12" s="13" customFormat="1" x14ac:dyDescent="0.3">
      <c r="A218" s="22" t="s">
        <v>22</v>
      </c>
      <c r="B218" s="13" t="s">
        <v>625</v>
      </c>
      <c r="C218" s="23" t="s">
        <v>75</v>
      </c>
      <c r="D218" s="13" t="s">
        <v>1147</v>
      </c>
      <c r="F218" s="13" t="s">
        <v>220</v>
      </c>
      <c r="G218" s="13" t="s">
        <v>385</v>
      </c>
      <c r="H218" s="13" t="s">
        <v>1347</v>
      </c>
      <c r="I218" s="13" t="s">
        <v>874</v>
      </c>
      <c r="J218" s="13" t="s">
        <v>1437</v>
      </c>
      <c r="K218" s="13" t="s">
        <v>1438</v>
      </c>
      <c r="L218" s="13" t="s">
        <v>385</v>
      </c>
    </row>
    <row r="219" spans="1:12" s="13" customFormat="1" x14ac:dyDescent="0.3">
      <c r="A219" s="22" t="s">
        <v>22</v>
      </c>
      <c r="B219" s="13" t="s">
        <v>935</v>
      </c>
      <c r="C219" s="23" t="s">
        <v>477</v>
      </c>
      <c r="D219" s="13" t="s">
        <v>1148</v>
      </c>
      <c r="F219" s="13" t="s">
        <v>220</v>
      </c>
      <c r="G219" s="13" t="s">
        <v>420</v>
      </c>
      <c r="H219" s="13" t="s">
        <v>1348</v>
      </c>
      <c r="I219" s="13" t="s">
        <v>934</v>
      </c>
      <c r="J219" s="13" t="s">
        <v>1437</v>
      </c>
      <c r="K219" s="13" t="s">
        <v>1438</v>
      </c>
      <c r="L219" s="13" t="s">
        <v>420</v>
      </c>
    </row>
    <row r="220" spans="1:12" s="13" customFormat="1" x14ac:dyDescent="0.3">
      <c r="A220" s="22" t="s">
        <v>22</v>
      </c>
      <c r="B220" s="13" t="s">
        <v>626</v>
      </c>
      <c r="C220" s="23" t="s">
        <v>478</v>
      </c>
      <c r="D220" s="13" t="s">
        <v>1149</v>
      </c>
      <c r="F220" s="13" t="s">
        <v>220</v>
      </c>
      <c r="G220" s="13" t="s">
        <v>479</v>
      </c>
      <c r="H220" s="13" t="s">
        <v>1349</v>
      </c>
      <c r="I220" s="13" t="s">
        <v>875</v>
      </c>
      <c r="J220" s="13" t="s">
        <v>1437</v>
      </c>
      <c r="K220" s="13" t="s">
        <v>1438</v>
      </c>
      <c r="L220" s="13" t="s">
        <v>479</v>
      </c>
    </row>
    <row r="221" spans="1:12" s="13" customFormat="1" x14ac:dyDescent="0.3">
      <c r="A221" s="22" t="s">
        <v>22</v>
      </c>
      <c r="B221" s="13" t="s">
        <v>627</v>
      </c>
      <c r="C221" s="23" t="s">
        <v>80</v>
      </c>
      <c r="D221" s="13" t="s">
        <v>1150</v>
      </c>
      <c r="F221" s="13" t="s">
        <v>220</v>
      </c>
      <c r="G221" s="13" t="s">
        <v>1426</v>
      </c>
      <c r="H221" s="13" t="s">
        <v>1350</v>
      </c>
      <c r="I221" s="13" t="s">
        <v>876</v>
      </c>
      <c r="J221" s="13" t="s">
        <v>1437</v>
      </c>
      <c r="K221" s="13" t="s">
        <v>1438</v>
      </c>
      <c r="L221" s="13" t="s">
        <v>1426</v>
      </c>
    </row>
    <row r="222" spans="1:12" s="13" customFormat="1" x14ac:dyDescent="0.3">
      <c r="A222" s="22" t="s">
        <v>22</v>
      </c>
      <c r="B222" s="13" t="s">
        <v>628</v>
      </c>
      <c r="C222" s="23" t="s">
        <v>1014</v>
      </c>
      <c r="D222" s="13" t="s">
        <v>1151</v>
      </c>
      <c r="F222" s="13" t="s">
        <v>220</v>
      </c>
      <c r="G222" s="13" t="s">
        <v>421</v>
      </c>
      <c r="H222" s="13" t="s">
        <v>1351</v>
      </c>
      <c r="I222" s="13" t="s">
        <v>877</v>
      </c>
      <c r="J222" s="13" t="s">
        <v>1437</v>
      </c>
      <c r="K222" s="13" t="s">
        <v>1438</v>
      </c>
      <c r="L222" s="13" t="s">
        <v>1476</v>
      </c>
    </row>
    <row r="223" spans="1:12" s="13" customFormat="1" x14ac:dyDescent="0.3">
      <c r="A223" s="22" t="s">
        <v>22</v>
      </c>
      <c r="B223" s="13" t="s">
        <v>629</v>
      </c>
      <c r="C223" s="23" t="s">
        <v>139</v>
      </c>
      <c r="D223" s="13" t="s">
        <v>1152</v>
      </c>
      <c r="F223" s="13" t="s">
        <v>220</v>
      </c>
      <c r="G223" s="13" t="s">
        <v>409</v>
      </c>
      <c r="H223" s="13" t="s">
        <v>1352</v>
      </c>
      <c r="I223" s="13" t="s">
        <v>878</v>
      </c>
      <c r="J223" s="13" t="s">
        <v>1437</v>
      </c>
      <c r="K223" s="13" t="s">
        <v>1438</v>
      </c>
      <c r="L223" s="13" t="s">
        <v>409</v>
      </c>
    </row>
    <row r="224" spans="1:12" s="13" customFormat="1" x14ac:dyDescent="0.3">
      <c r="A224" s="22" t="s">
        <v>22</v>
      </c>
      <c r="B224" s="13" t="s">
        <v>630</v>
      </c>
      <c r="C224" s="23" t="s">
        <v>133</v>
      </c>
      <c r="D224" s="13" t="s">
        <v>1153</v>
      </c>
      <c r="F224" s="13" t="s">
        <v>220</v>
      </c>
      <c r="G224" s="13" t="s">
        <v>408</v>
      </c>
      <c r="H224" s="13" t="s">
        <v>1353</v>
      </c>
      <c r="I224" s="13" t="s">
        <v>879</v>
      </c>
      <c r="J224" s="13" t="s">
        <v>1437</v>
      </c>
      <c r="K224" s="13" t="s">
        <v>1438</v>
      </c>
      <c r="L224" s="13" t="s">
        <v>408</v>
      </c>
    </row>
    <row r="225" spans="1:12" s="13" customFormat="1" x14ac:dyDescent="0.3">
      <c r="A225" s="22" t="s">
        <v>22</v>
      </c>
      <c r="B225" s="13" t="s">
        <v>631</v>
      </c>
      <c r="C225" s="23" t="s">
        <v>480</v>
      </c>
      <c r="D225" s="13" t="s">
        <v>1154</v>
      </c>
      <c r="F225" s="13" t="s">
        <v>220</v>
      </c>
      <c r="G225" s="13" t="s">
        <v>481</v>
      </c>
      <c r="H225" s="13" t="s">
        <v>1354</v>
      </c>
      <c r="I225" s="13" t="s">
        <v>880</v>
      </c>
      <c r="J225" s="13" t="s">
        <v>1437</v>
      </c>
      <c r="K225" s="13" t="s">
        <v>1438</v>
      </c>
      <c r="L225" s="13" t="s">
        <v>481</v>
      </c>
    </row>
    <row r="226" spans="1:12" s="13" customFormat="1" x14ac:dyDescent="0.3">
      <c r="A226" s="22" t="s">
        <v>22</v>
      </c>
      <c r="B226" s="13" t="s">
        <v>632</v>
      </c>
      <c r="C226" s="23" t="s">
        <v>200</v>
      </c>
      <c r="D226" s="13" t="s">
        <v>1155</v>
      </c>
      <c r="F226" s="13" t="s">
        <v>220</v>
      </c>
      <c r="G226" s="13" t="s">
        <v>411</v>
      </c>
      <c r="H226" s="13" t="s">
        <v>1355</v>
      </c>
      <c r="I226" s="13" t="s">
        <v>881</v>
      </c>
      <c r="J226" s="13" t="s">
        <v>1437</v>
      </c>
      <c r="K226" s="13" t="s">
        <v>1438</v>
      </c>
      <c r="L226" s="13" t="s">
        <v>411</v>
      </c>
    </row>
    <row r="227" spans="1:12" s="13" customFormat="1" x14ac:dyDescent="0.3">
      <c r="A227" s="22" t="s">
        <v>22</v>
      </c>
      <c r="B227" s="13" t="s">
        <v>633</v>
      </c>
      <c r="C227" s="23" t="s">
        <v>141</v>
      </c>
      <c r="D227" s="13" t="s">
        <v>1156</v>
      </c>
      <c r="F227" s="13" t="s">
        <v>220</v>
      </c>
      <c r="G227" s="13" t="s">
        <v>394</v>
      </c>
      <c r="H227" s="13" t="s">
        <v>1356</v>
      </c>
      <c r="I227" s="13" t="s">
        <v>882</v>
      </c>
      <c r="J227" s="13" t="s">
        <v>1437</v>
      </c>
      <c r="K227" s="13" t="s">
        <v>1438</v>
      </c>
      <c r="L227" s="13" t="s">
        <v>394</v>
      </c>
    </row>
    <row r="228" spans="1:12" s="13" customFormat="1" x14ac:dyDescent="0.3">
      <c r="A228" s="22" t="s">
        <v>22</v>
      </c>
      <c r="B228" s="13" t="s">
        <v>936</v>
      </c>
      <c r="C228" s="23" t="s">
        <v>55</v>
      </c>
      <c r="D228" s="13" t="s">
        <v>1157</v>
      </c>
      <c r="F228" s="13" t="s">
        <v>220</v>
      </c>
      <c r="G228" s="13" t="s">
        <v>183</v>
      </c>
      <c r="H228" s="13" t="s">
        <v>1357</v>
      </c>
      <c r="I228" s="13" t="s">
        <v>937</v>
      </c>
      <c r="J228" s="13" t="s">
        <v>1437</v>
      </c>
      <c r="K228" s="13" t="s">
        <v>1438</v>
      </c>
      <c r="L228" s="13" t="s">
        <v>183</v>
      </c>
    </row>
    <row r="229" spans="1:12" s="13" customFormat="1" x14ac:dyDescent="0.3">
      <c r="A229" s="22" t="s">
        <v>22</v>
      </c>
      <c r="B229" s="13" t="s">
        <v>634</v>
      </c>
      <c r="C229" s="23" t="s">
        <v>1427</v>
      </c>
      <c r="D229" s="13" t="s">
        <v>1158</v>
      </c>
      <c r="F229" s="13" t="s">
        <v>220</v>
      </c>
      <c r="G229" s="13" t="s">
        <v>541</v>
      </c>
      <c r="H229" s="13" t="s">
        <v>1358</v>
      </c>
      <c r="I229" s="13" t="s">
        <v>883</v>
      </c>
      <c r="J229" s="13" t="s">
        <v>1437</v>
      </c>
      <c r="K229" s="13" t="s">
        <v>1438</v>
      </c>
      <c r="L229" s="13" t="s">
        <v>541</v>
      </c>
    </row>
    <row r="230" spans="1:12" s="13" customFormat="1" x14ac:dyDescent="0.3">
      <c r="A230" s="22" t="s">
        <v>22</v>
      </c>
      <c r="B230" s="13" t="s">
        <v>635</v>
      </c>
      <c r="C230" s="23" t="s">
        <v>204</v>
      </c>
      <c r="D230" s="13" t="s">
        <v>1159</v>
      </c>
      <c r="F230" s="13" t="s">
        <v>220</v>
      </c>
      <c r="G230" s="13" t="s">
        <v>203</v>
      </c>
      <c r="H230" s="13" t="s">
        <v>1359</v>
      </c>
      <c r="I230" s="13" t="s">
        <v>884</v>
      </c>
      <c r="J230" s="13" t="s">
        <v>1437</v>
      </c>
      <c r="K230" s="13" t="s">
        <v>1438</v>
      </c>
      <c r="L230" s="13" t="s">
        <v>203</v>
      </c>
    </row>
    <row r="231" spans="1:12" s="13" customFormat="1" x14ac:dyDescent="0.3">
      <c r="A231" s="22" t="s">
        <v>22</v>
      </c>
      <c r="B231" s="13" t="s">
        <v>938</v>
      </c>
      <c r="C231" s="23" t="s">
        <v>50</v>
      </c>
      <c r="D231" s="13" t="s">
        <v>1160</v>
      </c>
      <c r="F231" s="13" t="s">
        <v>220</v>
      </c>
      <c r="G231" s="13" t="s">
        <v>181</v>
      </c>
      <c r="H231" s="13" t="s">
        <v>1360</v>
      </c>
      <c r="I231" s="13" t="s">
        <v>939</v>
      </c>
      <c r="J231" s="13" t="s">
        <v>1437</v>
      </c>
      <c r="K231" s="13" t="s">
        <v>1438</v>
      </c>
      <c r="L231" s="13" t="s">
        <v>181</v>
      </c>
    </row>
    <row r="232" spans="1:12" s="13" customFormat="1" x14ac:dyDescent="0.3">
      <c r="A232" s="22" t="s">
        <v>22</v>
      </c>
      <c r="B232" s="13" t="s">
        <v>636</v>
      </c>
      <c r="C232" s="23" t="s">
        <v>58</v>
      </c>
      <c r="D232" s="13" t="s">
        <v>1161</v>
      </c>
      <c r="F232" s="13" t="s">
        <v>220</v>
      </c>
      <c r="G232" s="13" t="s">
        <v>180</v>
      </c>
      <c r="H232" s="13" t="s">
        <v>1361</v>
      </c>
      <c r="I232" s="13" t="s">
        <v>885</v>
      </c>
      <c r="J232" s="13" t="s">
        <v>1437</v>
      </c>
      <c r="K232" s="13" t="s">
        <v>1438</v>
      </c>
      <c r="L232" s="13" t="s">
        <v>180</v>
      </c>
    </row>
    <row r="233" spans="1:12" s="13" customFormat="1" x14ac:dyDescent="0.3">
      <c r="A233" s="22" t="s">
        <v>22</v>
      </c>
      <c r="B233" s="13" t="s">
        <v>637</v>
      </c>
      <c r="C233" s="23" t="s">
        <v>54</v>
      </c>
      <c r="D233" s="13" t="s">
        <v>1162</v>
      </c>
      <c r="F233" s="13" t="s">
        <v>220</v>
      </c>
      <c r="G233" s="13" t="s">
        <v>418</v>
      </c>
      <c r="H233" s="13" t="s">
        <v>1362</v>
      </c>
      <c r="I233" s="13" t="s">
        <v>886</v>
      </c>
      <c r="J233" s="13" t="s">
        <v>1437</v>
      </c>
      <c r="K233" s="13" t="s">
        <v>1438</v>
      </c>
      <c r="L233" s="13" t="s">
        <v>1477</v>
      </c>
    </row>
    <row r="234" spans="1:12" s="13" customFormat="1" x14ac:dyDescent="0.3">
      <c r="A234" s="22" t="s">
        <v>22</v>
      </c>
      <c r="B234" s="13" t="s">
        <v>638</v>
      </c>
      <c r="C234" s="23" t="s">
        <v>41</v>
      </c>
      <c r="D234" s="13" t="s">
        <v>1163</v>
      </c>
      <c r="F234" s="13" t="s">
        <v>220</v>
      </c>
      <c r="G234" s="13" t="s">
        <v>482</v>
      </c>
      <c r="H234" s="13" t="s">
        <v>1363</v>
      </c>
      <c r="I234" s="13" t="s">
        <v>887</v>
      </c>
      <c r="J234" s="13" t="s">
        <v>1437</v>
      </c>
      <c r="K234" s="13" t="s">
        <v>1438</v>
      </c>
      <c r="L234" s="13" t="s">
        <v>482</v>
      </c>
    </row>
    <row r="235" spans="1:12" s="13" customFormat="1" x14ac:dyDescent="0.3">
      <c r="A235" s="22" t="s">
        <v>22</v>
      </c>
      <c r="B235" s="13" t="s">
        <v>639</v>
      </c>
      <c r="C235" s="23" t="s">
        <v>44</v>
      </c>
      <c r="D235" s="13" t="s">
        <v>1164</v>
      </c>
      <c r="F235" s="13" t="s">
        <v>220</v>
      </c>
      <c r="G235" s="13" t="s">
        <v>167</v>
      </c>
      <c r="H235" s="13" t="s">
        <v>1364</v>
      </c>
      <c r="I235" s="13" t="s">
        <v>888</v>
      </c>
      <c r="J235" s="13" t="s">
        <v>1437</v>
      </c>
      <c r="K235" s="13" t="s">
        <v>1438</v>
      </c>
      <c r="L235" s="13" t="s">
        <v>167</v>
      </c>
    </row>
    <row r="236" spans="1:12" s="13" customFormat="1" x14ac:dyDescent="0.3">
      <c r="A236" s="22" t="s">
        <v>22</v>
      </c>
      <c r="B236" s="13" t="s">
        <v>640</v>
      </c>
      <c r="C236" s="23" t="s">
        <v>483</v>
      </c>
      <c r="D236" s="13" t="s">
        <v>1165</v>
      </c>
      <c r="F236" s="13" t="s">
        <v>220</v>
      </c>
      <c r="G236" s="13" t="s">
        <v>484</v>
      </c>
      <c r="H236" s="13" t="s">
        <v>1365</v>
      </c>
      <c r="I236" s="13" t="s">
        <v>889</v>
      </c>
      <c r="J236" s="13" t="s">
        <v>1437</v>
      </c>
      <c r="K236" s="13" t="s">
        <v>1438</v>
      </c>
      <c r="L236" s="13" t="s">
        <v>484</v>
      </c>
    </row>
    <row r="237" spans="1:12" s="13" customFormat="1" x14ac:dyDescent="0.3">
      <c r="A237" s="22" t="s">
        <v>22</v>
      </c>
      <c r="B237" s="13" t="s">
        <v>641</v>
      </c>
      <c r="C237" s="23" t="s">
        <v>56</v>
      </c>
      <c r="D237" s="13" t="s">
        <v>1166</v>
      </c>
      <c r="F237" s="13" t="s">
        <v>220</v>
      </c>
      <c r="G237" s="13" t="s">
        <v>185</v>
      </c>
      <c r="H237" s="13" t="s">
        <v>1366</v>
      </c>
      <c r="I237" s="13" t="s">
        <v>890</v>
      </c>
      <c r="J237" s="13" t="s">
        <v>1437</v>
      </c>
      <c r="K237" s="13" t="s">
        <v>1438</v>
      </c>
      <c r="L237" s="13" t="s">
        <v>185</v>
      </c>
    </row>
    <row r="238" spans="1:12" s="13" customFormat="1" x14ac:dyDescent="0.3">
      <c r="A238" s="22" t="s">
        <v>22</v>
      </c>
      <c r="B238" s="13" t="s">
        <v>1428</v>
      </c>
      <c r="C238" s="23" t="s">
        <v>1429</v>
      </c>
      <c r="D238" s="13" t="s">
        <v>1430</v>
      </c>
      <c r="F238" s="13" t="s">
        <v>220</v>
      </c>
      <c r="G238" s="13" t="s">
        <v>1527</v>
      </c>
      <c r="H238" s="13" t="s">
        <v>1431</v>
      </c>
      <c r="I238" s="13" t="s">
        <v>1432</v>
      </c>
      <c r="J238" s="13" t="s">
        <v>1437</v>
      </c>
      <c r="K238" s="13" t="s">
        <v>1438</v>
      </c>
      <c r="L238" s="13" t="s">
        <v>1527</v>
      </c>
    </row>
    <row r="239" spans="1:12" s="13" customFormat="1" x14ac:dyDescent="0.3">
      <c r="A239" s="22" t="s">
        <v>22</v>
      </c>
      <c r="B239" s="13" t="s">
        <v>642</v>
      </c>
      <c r="C239" s="23" t="s">
        <v>129</v>
      </c>
      <c r="D239" s="13" t="s">
        <v>1167</v>
      </c>
      <c r="F239" s="13" t="s">
        <v>220</v>
      </c>
      <c r="G239" s="13" t="s">
        <v>162</v>
      </c>
      <c r="H239" s="13" t="s">
        <v>1367</v>
      </c>
      <c r="I239" s="13" t="s">
        <v>891</v>
      </c>
      <c r="J239" s="13" t="s">
        <v>1437</v>
      </c>
      <c r="K239" s="13" t="s">
        <v>1438</v>
      </c>
      <c r="L239" s="13" t="s">
        <v>162</v>
      </c>
    </row>
    <row r="240" spans="1:12" s="13" customFormat="1" x14ac:dyDescent="0.3">
      <c r="A240" s="22" t="s">
        <v>22</v>
      </c>
      <c r="B240" s="13" t="s">
        <v>643</v>
      </c>
      <c r="C240" s="23" t="s">
        <v>145</v>
      </c>
      <c r="D240" s="13" t="s">
        <v>1168</v>
      </c>
      <c r="F240" s="13" t="s">
        <v>220</v>
      </c>
      <c r="G240" s="13" t="s">
        <v>424</v>
      </c>
      <c r="H240" s="13" t="s">
        <v>1368</v>
      </c>
      <c r="I240" s="13" t="s">
        <v>892</v>
      </c>
      <c r="J240" s="13" t="s">
        <v>1437</v>
      </c>
      <c r="K240" s="13" t="s">
        <v>1438</v>
      </c>
      <c r="L240" s="13" t="s">
        <v>424</v>
      </c>
    </row>
    <row r="241" spans="1:12" s="13" customFormat="1" x14ac:dyDescent="0.3">
      <c r="A241" s="22" t="s">
        <v>22</v>
      </c>
      <c r="B241" s="13" t="s">
        <v>1016</v>
      </c>
      <c r="C241" s="23" t="s">
        <v>1015</v>
      </c>
      <c r="D241" s="13" t="s">
        <v>1169</v>
      </c>
      <c r="F241" s="13" t="s">
        <v>220</v>
      </c>
      <c r="G241" s="13" t="s">
        <v>1528</v>
      </c>
      <c r="H241" s="13" t="s">
        <v>1369</v>
      </c>
      <c r="I241" s="13" t="s">
        <v>1017</v>
      </c>
      <c r="J241" s="13" t="s">
        <v>1437</v>
      </c>
      <c r="K241" s="13" t="s">
        <v>1438</v>
      </c>
      <c r="L241" s="13" t="s">
        <v>1528</v>
      </c>
    </row>
    <row r="242" spans="1:12" s="13" customFormat="1" x14ac:dyDescent="0.3">
      <c r="A242" s="22" t="s">
        <v>22</v>
      </c>
      <c r="B242" s="13" t="s">
        <v>940</v>
      </c>
      <c r="C242" s="23" t="s">
        <v>199</v>
      </c>
      <c r="D242" s="13" t="s">
        <v>1170</v>
      </c>
      <c r="F242" s="13" t="s">
        <v>220</v>
      </c>
      <c r="G242" s="13" t="s">
        <v>389</v>
      </c>
      <c r="H242" s="13" t="s">
        <v>1370</v>
      </c>
      <c r="I242" s="13" t="s">
        <v>941</v>
      </c>
      <c r="J242" s="13" t="s">
        <v>1437</v>
      </c>
      <c r="K242" s="13" t="s">
        <v>1438</v>
      </c>
      <c r="L242" s="13" t="s">
        <v>1478</v>
      </c>
    </row>
    <row r="243" spans="1:12" s="13" customFormat="1" x14ac:dyDescent="0.3">
      <c r="A243" s="22" t="s">
        <v>22</v>
      </c>
      <c r="B243" s="13" t="s">
        <v>644</v>
      </c>
      <c r="C243" s="23" t="s">
        <v>1014</v>
      </c>
      <c r="D243" s="13" t="s">
        <v>1171</v>
      </c>
      <c r="F243" s="13" t="s">
        <v>220</v>
      </c>
      <c r="G243" s="13" t="s">
        <v>421</v>
      </c>
      <c r="H243" s="13" t="s">
        <v>1371</v>
      </c>
      <c r="I243" s="13" t="s">
        <v>893</v>
      </c>
      <c r="J243" s="13" t="s">
        <v>1437</v>
      </c>
      <c r="K243" s="13" t="s">
        <v>1438</v>
      </c>
      <c r="L243" s="13" t="s">
        <v>1479</v>
      </c>
    </row>
    <row r="244" spans="1:12" s="13" customFormat="1" x14ac:dyDescent="0.3">
      <c r="A244" s="22" t="s">
        <v>22</v>
      </c>
      <c r="B244" s="13" t="s">
        <v>645</v>
      </c>
      <c r="C244" s="23" t="s">
        <v>485</v>
      </c>
      <c r="D244" s="13" t="s">
        <v>1172</v>
      </c>
      <c r="F244" s="13" t="s">
        <v>220</v>
      </c>
      <c r="G244" s="13" t="s">
        <v>174</v>
      </c>
      <c r="H244" s="13" t="s">
        <v>1372</v>
      </c>
      <c r="I244" s="13" t="s">
        <v>894</v>
      </c>
      <c r="J244" s="13" t="s">
        <v>1437</v>
      </c>
      <c r="K244" s="13" t="s">
        <v>1438</v>
      </c>
      <c r="L244" s="13" t="s">
        <v>174</v>
      </c>
    </row>
    <row r="245" spans="1:12" s="13" customFormat="1" x14ac:dyDescent="0.3">
      <c r="A245" s="22" t="s">
        <v>22</v>
      </c>
      <c r="B245" s="13" t="s">
        <v>942</v>
      </c>
      <c r="C245" s="23" t="s">
        <v>150</v>
      </c>
      <c r="D245" s="13" t="s">
        <v>1173</v>
      </c>
      <c r="F245" s="13" t="s">
        <v>220</v>
      </c>
      <c r="G245" s="13" t="s">
        <v>186</v>
      </c>
      <c r="H245" s="13" t="s">
        <v>1373</v>
      </c>
      <c r="I245" s="13" t="s">
        <v>943</v>
      </c>
      <c r="J245" s="13" t="s">
        <v>1437</v>
      </c>
      <c r="K245" s="13" t="s">
        <v>1438</v>
      </c>
      <c r="L245" s="13" t="s">
        <v>186</v>
      </c>
    </row>
    <row r="246" spans="1:12" s="13" customFormat="1" x14ac:dyDescent="0.3">
      <c r="A246" s="22" t="s">
        <v>22</v>
      </c>
      <c r="B246" s="13" t="s">
        <v>646</v>
      </c>
      <c r="C246" s="23" t="s">
        <v>1018</v>
      </c>
      <c r="D246" s="13" t="s">
        <v>1174</v>
      </c>
      <c r="F246" s="13" t="s">
        <v>220</v>
      </c>
      <c r="G246" s="13" t="s">
        <v>393</v>
      </c>
      <c r="H246" s="13" t="s">
        <v>1374</v>
      </c>
      <c r="I246" s="13" t="s">
        <v>895</v>
      </c>
      <c r="J246" s="13" t="s">
        <v>1437</v>
      </c>
      <c r="K246" s="13" t="s">
        <v>1438</v>
      </c>
      <c r="L246" s="13" t="s">
        <v>393</v>
      </c>
    </row>
    <row r="247" spans="1:12" s="13" customFormat="1" x14ac:dyDescent="0.3">
      <c r="A247" s="22" t="s">
        <v>22</v>
      </c>
      <c r="B247" s="13" t="s">
        <v>647</v>
      </c>
      <c r="C247" s="23" t="s">
        <v>127</v>
      </c>
      <c r="D247" s="13" t="s">
        <v>1175</v>
      </c>
      <c r="F247" s="13" t="s">
        <v>220</v>
      </c>
      <c r="G247" s="13" t="s">
        <v>391</v>
      </c>
      <c r="H247" s="13" t="s">
        <v>1375</v>
      </c>
      <c r="I247" s="13" t="s">
        <v>896</v>
      </c>
      <c r="J247" s="13" t="s">
        <v>1437</v>
      </c>
      <c r="K247" s="13" t="s">
        <v>1438</v>
      </c>
      <c r="L247" s="13" t="s">
        <v>1480</v>
      </c>
    </row>
    <row r="248" spans="1:12" s="13" customFormat="1" x14ac:dyDescent="0.3">
      <c r="A248" s="22" t="s">
        <v>22</v>
      </c>
      <c r="B248" s="13" t="s">
        <v>648</v>
      </c>
      <c r="C248" s="23" t="s">
        <v>69</v>
      </c>
      <c r="D248" s="13" t="s">
        <v>1176</v>
      </c>
      <c r="F248" s="13" t="s">
        <v>220</v>
      </c>
      <c r="G248" s="13" t="s">
        <v>419</v>
      </c>
      <c r="H248" s="13" t="s">
        <v>1376</v>
      </c>
      <c r="I248" s="13" t="s">
        <v>897</v>
      </c>
      <c r="J248" s="13" t="s">
        <v>1437</v>
      </c>
      <c r="K248" s="13" t="s">
        <v>1438</v>
      </c>
      <c r="L248" s="13" t="s">
        <v>419</v>
      </c>
    </row>
    <row r="249" spans="1:12" s="13" customFormat="1" x14ac:dyDescent="0.3">
      <c r="A249" s="22" t="s">
        <v>22</v>
      </c>
      <c r="B249" s="13" t="s">
        <v>649</v>
      </c>
      <c r="C249" s="23" t="s">
        <v>1019</v>
      </c>
      <c r="D249" s="13" t="s">
        <v>1177</v>
      </c>
      <c r="F249" s="13" t="s">
        <v>220</v>
      </c>
      <c r="G249" s="13" t="s">
        <v>399</v>
      </c>
      <c r="H249" s="13" t="s">
        <v>1377</v>
      </c>
      <c r="I249" s="13" t="s">
        <v>898</v>
      </c>
      <c r="J249" s="13" t="s">
        <v>1437</v>
      </c>
      <c r="K249" s="13" t="s">
        <v>1438</v>
      </c>
      <c r="L249" s="13" t="s">
        <v>399</v>
      </c>
    </row>
    <row r="250" spans="1:12" s="13" customFormat="1" x14ac:dyDescent="0.3">
      <c r="A250" s="22" t="s">
        <v>22</v>
      </c>
      <c r="B250" s="13" t="s">
        <v>650</v>
      </c>
      <c r="C250" s="23" t="s">
        <v>1020</v>
      </c>
      <c r="D250" s="13" t="s">
        <v>1178</v>
      </c>
      <c r="F250" s="13" t="s">
        <v>220</v>
      </c>
      <c r="G250" s="13" t="s">
        <v>202</v>
      </c>
      <c r="H250" s="13" t="s">
        <v>370</v>
      </c>
      <c r="I250" s="13" t="s">
        <v>899</v>
      </c>
      <c r="J250" s="13" t="s">
        <v>1437</v>
      </c>
      <c r="K250" s="13" t="s">
        <v>1438</v>
      </c>
      <c r="L250" s="13" t="s">
        <v>202</v>
      </c>
    </row>
    <row r="251" spans="1:12" s="13" customFormat="1" x14ac:dyDescent="0.3">
      <c r="A251" s="22" t="s">
        <v>22</v>
      </c>
      <c r="B251" s="13" t="s">
        <v>1021</v>
      </c>
      <c r="C251" s="23" t="s">
        <v>1495</v>
      </c>
      <c r="D251" s="13" t="s">
        <v>1179</v>
      </c>
      <c r="F251" s="13" t="s">
        <v>220</v>
      </c>
      <c r="G251" s="13" t="s">
        <v>1481</v>
      </c>
      <c r="H251" s="13" t="s">
        <v>1378</v>
      </c>
      <c r="I251" s="13" t="s">
        <v>1022</v>
      </c>
      <c r="J251" s="13" t="s">
        <v>1437</v>
      </c>
      <c r="K251" s="13" t="s">
        <v>1438</v>
      </c>
      <c r="L251" s="13" t="s">
        <v>1481</v>
      </c>
    </row>
    <row r="252" spans="1:12" s="13" customFormat="1" x14ac:dyDescent="0.3">
      <c r="A252" s="22" t="s">
        <v>22</v>
      </c>
      <c r="B252" s="13" t="s">
        <v>651</v>
      </c>
      <c r="C252" s="23" t="s">
        <v>61</v>
      </c>
      <c r="D252" s="13" t="s">
        <v>1180</v>
      </c>
      <c r="F252" s="13" t="s">
        <v>220</v>
      </c>
      <c r="G252" s="13" t="s">
        <v>165</v>
      </c>
      <c r="H252" s="13" t="s">
        <v>1379</v>
      </c>
      <c r="I252" s="13" t="s">
        <v>900</v>
      </c>
      <c r="J252" s="13" t="s">
        <v>1437</v>
      </c>
      <c r="K252" s="13" t="s">
        <v>1438</v>
      </c>
      <c r="L252" s="13" t="s">
        <v>165</v>
      </c>
    </row>
    <row r="253" spans="1:12" s="13" customFormat="1" x14ac:dyDescent="0.3">
      <c r="A253" s="22" t="s">
        <v>22</v>
      </c>
      <c r="B253" s="13" t="s">
        <v>652</v>
      </c>
      <c r="C253" s="23" t="s">
        <v>146</v>
      </c>
      <c r="D253" s="13" t="s">
        <v>1181</v>
      </c>
      <c r="F253" s="13" t="s">
        <v>220</v>
      </c>
      <c r="G253" s="13" t="s">
        <v>413</v>
      </c>
      <c r="H253" s="13" t="s">
        <v>1380</v>
      </c>
      <c r="I253" s="13" t="s">
        <v>901</v>
      </c>
      <c r="J253" s="13" t="s">
        <v>1437</v>
      </c>
      <c r="K253" s="13" t="s">
        <v>1438</v>
      </c>
      <c r="L253" s="13" t="s">
        <v>1482</v>
      </c>
    </row>
    <row r="254" spans="1:12" s="13" customFormat="1" x14ac:dyDescent="0.3">
      <c r="A254" s="22" t="s">
        <v>22</v>
      </c>
      <c r="B254" s="13" t="s">
        <v>944</v>
      </c>
      <c r="C254" s="23" t="s">
        <v>63</v>
      </c>
      <c r="D254" s="13" t="s">
        <v>1182</v>
      </c>
      <c r="F254" s="13" t="s">
        <v>220</v>
      </c>
      <c r="G254" s="13" t="s">
        <v>78</v>
      </c>
      <c r="H254" s="13" t="s">
        <v>1381</v>
      </c>
      <c r="I254" s="13" t="s">
        <v>945</v>
      </c>
      <c r="J254" s="13" t="s">
        <v>1437</v>
      </c>
      <c r="K254" s="13" t="s">
        <v>1438</v>
      </c>
      <c r="L254" s="13" t="s">
        <v>78</v>
      </c>
    </row>
    <row r="255" spans="1:12" s="13" customFormat="1" x14ac:dyDescent="0.3">
      <c r="A255" s="22" t="s">
        <v>22</v>
      </c>
      <c r="B255" s="13" t="s">
        <v>653</v>
      </c>
      <c r="C255" s="23" t="s">
        <v>143</v>
      </c>
      <c r="D255" s="13" t="s">
        <v>1183</v>
      </c>
      <c r="F255" s="13" t="s">
        <v>220</v>
      </c>
      <c r="G255" s="13" t="s">
        <v>415</v>
      </c>
      <c r="H255" s="13" t="s">
        <v>1382</v>
      </c>
      <c r="I255" s="13" t="s">
        <v>902</v>
      </c>
      <c r="J255" s="13" t="s">
        <v>1437</v>
      </c>
      <c r="K255" s="13" t="s">
        <v>1438</v>
      </c>
      <c r="L255" s="13" t="s">
        <v>415</v>
      </c>
    </row>
    <row r="256" spans="1:12" s="13" customFormat="1" x14ac:dyDescent="0.3">
      <c r="A256" s="22" t="s">
        <v>22</v>
      </c>
      <c r="B256" s="13" t="s">
        <v>654</v>
      </c>
      <c r="C256" s="23" t="s">
        <v>128</v>
      </c>
      <c r="D256" s="13" t="s">
        <v>1184</v>
      </c>
      <c r="F256" s="13" t="s">
        <v>220</v>
      </c>
      <c r="G256" s="13" t="s">
        <v>391</v>
      </c>
      <c r="H256" s="13" t="s">
        <v>1383</v>
      </c>
      <c r="I256" s="13" t="s">
        <v>1023</v>
      </c>
      <c r="J256" s="13" t="s">
        <v>1437</v>
      </c>
      <c r="K256" s="13" t="s">
        <v>1438</v>
      </c>
      <c r="L256" s="13" t="s">
        <v>1483</v>
      </c>
    </row>
    <row r="257" spans="1:12" s="13" customFormat="1" x14ac:dyDescent="0.3">
      <c r="A257" s="22" t="s">
        <v>22</v>
      </c>
      <c r="B257" s="13" t="s">
        <v>655</v>
      </c>
      <c r="C257" s="23" t="s">
        <v>67</v>
      </c>
      <c r="D257" s="13" t="s">
        <v>1185</v>
      </c>
      <c r="F257" s="13" t="s">
        <v>220</v>
      </c>
      <c r="G257" s="13" t="s">
        <v>159</v>
      </c>
      <c r="H257" s="13" t="s">
        <v>1384</v>
      </c>
      <c r="I257" s="13" t="s">
        <v>903</v>
      </c>
      <c r="J257" s="13" t="s">
        <v>1437</v>
      </c>
      <c r="K257" s="13" t="s">
        <v>1438</v>
      </c>
      <c r="L257" s="13" t="s">
        <v>159</v>
      </c>
    </row>
    <row r="258" spans="1:12" s="13" customFormat="1" x14ac:dyDescent="0.3">
      <c r="A258" s="13" t="s">
        <v>22</v>
      </c>
      <c r="B258" s="13" t="s">
        <v>656</v>
      </c>
      <c r="C258" s="23" t="s">
        <v>64</v>
      </c>
      <c r="D258" s="13" t="s">
        <v>1186</v>
      </c>
      <c r="F258" s="13" t="s">
        <v>220</v>
      </c>
      <c r="G258" s="13" t="s">
        <v>154</v>
      </c>
      <c r="H258" s="13" t="s">
        <v>1385</v>
      </c>
      <c r="I258" s="13" t="s">
        <v>904</v>
      </c>
      <c r="J258" s="13" t="s">
        <v>1437</v>
      </c>
      <c r="K258" s="13" t="s">
        <v>1438</v>
      </c>
      <c r="L258" s="13" t="s">
        <v>154</v>
      </c>
    </row>
    <row r="259" spans="1:12" x14ac:dyDescent="0.3">
      <c r="A259" t="s">
        <v>22</v>
      </c>
      <c r="B259" t="s">
        <v>657</v>
      </c>
      <c r="C259" s="23" t="s">
        <v>1024</v>
      </c>
      <c r="D259" t="s">
        <v>1187</v>
      </c>
      <c r="F259" t="s">
        <v>220</v>
      </c>
      <c r="G259" t="s">
        <v>422</v>
      </c>
      <c r="H259" s="13" t="s">
        <v>1386</v>
      </c>
      <c r="I259" s="13" t="s">
        <v>905</v>
      </c>
      <c r="J259" s="13" t="s">
        <v>1437</v>
      </c>
      <c r="K259" s="13" t="s">
        <v>1438</v>
      </c>
      <c r="L259" s="13" t="s">
        <v>422</v>
      </c>
    </row>
    <row r="260" spans="1:12" x14ac:dyDescent="0.3">
      <c r="A260" t="s">
        <v>22</v>
      </c>
      <c r="B260" t="s">
        <v>946</v>
      </c>
      <c r="C260" s="23" t="s">
        <v>1511</v>
      </c>
      <c r="D260" t="s">
        <v>1512</v>
      </c>
      <c r="F260" t="s">
        <v>220</v>
      </c>
      <c r="G260" t="s">
        <v>1513</v>
      </c>
      <c r="H260" s="13" t="s">
        <v>1387</v>
      </c>
      <c r="I260" s="13" t="s">
        <v>947</v>
      </c>
      <c r="J260" s="13" t="s">
        <v>1437</v>
      </c>
      <c r="K260" s="13" t="s">
        <v>1438</v>
      </c>
      <c r="L260" s="13" t="s">
        <v>1513</v>
      </c>
    </row>
    <row r="261" spans="1:12" x14ac:dyDescent="0.3">
      <c r="A261" t="s">
        <v>22</v>
      </c>
      <c r="B261" t="s">
        <v>658</v>
      </c>
      <c r="C261" s="23" t="s">
        <v>1025</v>
      </c>
      <c r="D261" t="s">
        <v>1188</v>
      </c>
      <c r="F261" t="s">
        <v>220</v>
      </c>
      <c r="G261" t="s">
        <v>184</v>
      </c>
      <c r="H261" t="s">
        <v>1388</v>
      </c>
      <c r="I261" s="13" t="s">
        <v>906</v>
      </c>
      <c r="J261" s="13" t="s">
        <v>1437</v>
      </c>
      <c r="K261" s="13" t="s">
        <v>1438</v>
      </c>
      <c r="L261" s="13" t="s">
        <v>1484</v>
      </c>
    </row>
    <row r="262" spans="1:12" x14ac:dyDescent="0.3">
      <c r="A262" t="s">
        <v>22</v>
      </c>
      <c r="B262" t="s">
        <v>659</v>
      </c>
      <c r="C262" s="23" t="s">
        <v>207</v>
      </c>
      <c r="D262" t="s">
        <v>1189</v>
      </c>
      <c r="F262" t="s">
        <v>220</v>
      </c>
      <c r="G262" t="s">
        <v>205</v>
      </c>
      <c r="H262" t="s">
        <v>1389</v>
      </c>
      <c r="I262" s="13" t="s">
        <v>1064</v>
      </c>
      <c r="J262" s="13" t="s">
        <v>1437</v>
      </c>
      <c r="K262" s="13" t="s">
        <v>1438</v>
      </c>
      <c r="L262" s="13" t="s">
        <v>205</v>
      </c>
    </row>
    <row r="263" spans="1:12" x14ac:dyDescent="0.3">
      <c r="A263" t="s">
        <v>22</v>
      </c>
      <c r="B263" t="s">
        <v>660</v>
      </c>
      <c r="C263" s="23" t="s">
        <v>125</v>
      </c>
      <c r="D263" t="s">
        <v>1190</v>
      </c>
      <c r="F263" t="s">
        <v>220</v>
      </c>
      <c r="G263" t="s">
        <v>388</v>
      </c>
      <c r="H263" t="s">
        <v>1390</v>
      </c>
      <c r="I263" s="13" t="s">
        <v>907</v>
      </c>
      <c r="J263" s="13" t="s">
        <v>1437</v>
      </c>
      <c r="K263" s="13" t="s">
        <v>1438</v>
      </c>
      <c r="L263" s="13" t="s">
        <v>388</v>
      </c>
    </row>
    <row r="264" spans="1:12" x14ac:dyDescent="0.3">
      <c r="A264" t="s">
        <v>22</v>
      </c>
      <c r="B264" t="s">
        <v>661</v>
      </c>
      <c r="C264" s="23" t="s">
        <v>486</v>
      </c>
      <c r="D264" t="s">
        <v>1191</v>
      </c>
      <c r="F264" t="s">
        <v>220</v>
      </c>
      <c r="G264" t="s">
        <v>155</v>
      </c>
      <c r="H264" t="s">
        <v>1391</v>
      </c>
      <c r="I264" s="13" t="s">
        <v>908</v>
      </c>
      <c r="J264" s="13" t="s">
        <v>1437</v>
      </c>
      <c r="K264" s="13" t="s">
        <v>1438</v>
      </c>
      <c r="L264" s="13" t="s">
        <v>155</v>
      </c>
    </row>
    <row r="265" spans="1:12" x14ac:dyDescent="0.3">
      <c r="A265" t="s">
        <v>22</v>
      </c>
      <c r="B265" t="s">
        <v>662</v>
      </c>
      <c r="C265" s="23" t="s">
        <v>146</v>
      </c>
      <c r="D265" t="s">
        <v>1192</v>
      </c>
      <c r="F265" t="s">
        <v>220</v>
      </c>
      <c r="G265" t="s">
        <v>413</v>
      </c>
      <c r="H265" t="s">
        <v>1392</v>
      </c>
      <c r="I265" s="13" t="s">
        <v>909</v>
      </c>
      <c r="J265" s="13" t="s">
        <v>1437</v>
      </c>
      <c r="K265" s="13" t="s">
        <v>1438</v>
      </c>
      <c r="L265" s="13" t="s">
        <v>1485</v>
      </c>
    </row>
    <row r="266" spans="1:12" x14ac:dyDescent="0.3">
      <c r="A266" t="s">
        <v>22</v>
      </c>
      <c r="B266" t="s">
        <v>663</v>
      </c>
      <c r="C266" s="23" t="s">
        <v>146</v>
      </c>
      <c r="D266" t="s">
        <v>1193</v>
      </c>
      <c r="F266" t="s">
        <v>220</v>
      </c>
      <c r="G266" t="s">
        <v>413</v>
      </c>
      <c r="H266" t="s">
        <v>1393</v>
      </c>
      <c r="I266" s="13" t="s">
        <v>910</v>
      </c>
      <c r="J266" s="13" t="s">
        <v>1437</v>
      </c>
      <c r="K266" s="13" t="s">
        <v>1438</v>
      </c>
      <c r="L266" s="13" t="s">
        <v>1486</v>
      </c>
    </row>
    <row r="267" spans="1:12" x14ac:dyDescent="0.3">
      <c r="A267" t="s">
        <v>22</v>
      </c>
      <c r="B267" t="s">
        <v>948</v>
      </c>
      <c r="C267" s="23" t="s">
        <v>487</v>
      </c>
      <c r="D267" t="s">
        <v>1194</v>
      </c>
      <c r="F267" t="s">
        <v>220</v>
      </c>
      <c r="G267" t="s">
        <v>381</v>
      </c>
      <c r="H267" t="s">
        <v>1394</v>
      </c>
      <c r="I267" s="13" t="s">
        <v>949</v>
      </c>
      <c r="J267" s="13" t="s">
        <v>1438</v>
      </c>
      <c r="K267" s="13" t="s">
        <v>1437</v>
      </c>
      <c r="L267" s="13" t="s">
        <v>381</v>
      </c>
    </row>
    <row r="268" spans="1:12" x14ac:dyDescent="0.3">
      <c r="A268" t="s">
        <v>22</v>
      </c>
      <c r="B268" t="s">
        <v>664</v>
      </c>
      <c r="C268" s="23" t="s">
        <v>542</v>
      </c>
      <c r="D268" t="s">
        <v>1195</v>
      </c>
      <c r="F268" t="s">
        <v>220</v>
      </c>
      <c r="G268" t="s">
        <v>389</v>
      </c>
      <c r="H268" t="s">
        <v>1395</v>
      </c>
      <c r="I268" s="13" t="s">
        <v>911</v>
      </c>
      <c r="J268" s="13" t="s">
        <v>1437</v>
      </c>
      <c r="K268" s="13" t="s">
        <v>1438</v>
      </c>
      <c r="L268" s="13" t="s">
        <v>1487</v>
      </c>
    </row>
    <row r="269" spans="1:12" x14ac:dyDescent="0.3">
      <c r="A269" t="s">
        <v>22</v>
      </c>
      <c r="B269" t="s">
        <v>665</v>
      </c>
      <c r="C269" s="23" t="s">
        <v>49</v>
      </c>
      <c r="D269" t="s">
        <v>1196</v>
      </c>
      <c r="F269" t="s">
        <v>220</v>
      </c>
      <c r="G269" t="s">
        <v>412</v>
      </c>
      <c r="H269" t="s">
        <v>1396</v>
      </c>
      <c r="I269" s="13" t="s">
        <v>912</v>
      </c>
      <c r="J269" s="13" t="s">
        <v>1437</v>
      </c>
      <c r="K269" s="13" t="s">
        <v>1438</v>
      </c>
      <c r="L269" s="13" t="s">
        <v>412</v>
      </c>
    </row>
    <row r="270" spans="1:12" x14ac:dyDescent="0.3">
      <c r="A270" t="s">
        <v>22</v>
      </c>
      <c r="B270" t="s">
        <v>666</v>
      </c>
      <c r="C270" s="23" t="s">
        <v>208</v>
      </c>
      <c r="D270" t="s">
        <v>1197</v>
      </c>
      <c r="F270" t="s">
        <v>220</v>
      </c>
      <c r="G270" t="s">
        <v>206</v>
      </c>
      <c r="H270" t="s">
        <v>1397</v>
      </c>
      <c r="I270" s="13" t="s">
        <v>913</v>
      </c>
      <c r="J270" s="13" t="s">
        <v>1437</v>
      </c>
      <c r="K270" s="13" t="s">
        <v>1438</v>
      </c>
      <c r="L270" s="13" t="s">
        <v>206</v>
      </c>
    </row>
    <row r="271" spans="1:12" x14ac:dyDescent="0.3">
      <c r="A271" t="s">
        <v>22</v>
      </c>
      <c r="B271" t="s">
        <v>667</v>
      </c>
      <c r="C271" s="23" t="s">
        <v>488</v>
      </c>
      <c r="D271" t="s">
        <v>1198</v>
      </c>
      <c r="F271" t="s">
        <v>220</v>
      </c>
      <c r="G271" t="s">
        <v>489</v>
      </c>
      <c r="H271" t="s">
        <v>1398</v>
      </c>
      <c r="I271" s="13" t="s">
        <v>914</v>
      </c>
      <c r="J271" s="13" t="s">
        <v>1437</v>
      </c>
      <c r="K271" s="13" t="s">
        <v>1438</v>
      </c>
      <c r="L271" s="13" t="s">
        <v>489</v>
      </c>
    </row>
    <row r="272" spans="1:12" x14ac:dyDescent="0.3">
      <c r="A272" t="s">
        <v>22</v>
      </c>
      <c r="B272" t="s">
        <v>668</v>
      </c>
      <c r="C272" s="23" t="s">
        <v>490</v>
      </c>
      <c r="D272" t="s">
        <v>1199</v>
      </c>
      <c r="F272" t="s">
        <v>220</v>
      </c>
      <c r="G272" t="s">
        <v>491</v>
      </c>
      <c r="H272" t="s">
        <v>1399</v>
      </c>
      <c r="I272" s="13" t="s">
        <v>915</v>
      </c>
      <c r="J272" s="13" t="s">
        <v>1437</v>
      </c>
      <c r="K272" s="13" t="s">
        <v>1438</v>
      </c>
      <c r="L272" s="13" t="s">
        <v>491</v>
      </c>
    </row>
    <row r="273" spans="1:12" x14ac:dyDescent="0.3">
      <c r="A273" t="s">
        <v>22</v>
      </c>
      <c r="B273" t="s">
        <v>669</v>
      </c>
      <c r="C273" s="23" t="s">
        <v>492</v>
      </c>
      <c r="D273" t="s">
        <v>1200</v>
      </c>
      <c r="F273" t="s">
        <v>220</v>
      </c>
      <c r="G273" t="s">
        <v>493</v>
      </c>
      <c r="H273" t="s">
        <v>1400</v>
      </c>
      <c r="I273" s="13" t="s">
        <v>916</v>
      </c>
      <c r="J273" s="13" t="s">
        <v>1437</v>
      </c>
      <c r="K273" s="13" t="s">
        <v>1438</v>
      </c>
      <c r="L273" s="13" t="s">
        <v>493</v>
      </c>
    </row>
    <row r="274" spans="1:12" x14ac:dyDescent="0.3">
      <c r="A274" t="s">
        <v>22</v>
      </c>
      <c r="B274" t="s">
        <v>670</v>
      </c>
      <c r="C274" s="23" t="s">
        <v>494</v>
      </c>
      <c r="D274" t="s">
        <v>1201</v>
      </c>
      <c r="F274" t="s">
        <v>220</v>
      </c>
      <c r="G274" t="s">
        <v>495</v>
      </c>
      <c r="H274" t="s">
        <v>1401</v>
      </c>
      <c r="I274" s="13" t="s">
        <v>917</v>
      </c>
      <c r="J274" s="13" t="s">
        <v>1437</v>
      </c>
      <c r="K274" s="13" t="s">
        <v>1438</v>
      </c>
      <c r="L274" s="13" t="s">
        <v>495</v>
      </c>
    </row>
    <row r="275" spans="1:12" x14ac:dyDescent="0.3">
      <c r="A275" t="s">
        <v>22</v>
      </c>
      <c r="B275" t="s">
        <v>671</v>
      </c>
      <c r="C275" s="23" t="s">
        <v>496</v>
      </c>
      <c r="D275" t="s">
        <v>1202</v>
      </c>
      <c r="F275" t="s">
        <v>220</v>
      </c>
      <c r="G275" t="s">
        <v>497</v>
      </c>
      <c r="H275" t="s">
        <v>1402</v>
      </c>
      <c r="I275" s="13" t="s">
        <v>918</v>
      </c>
      <c r="J275" s="13" t="s">
        <v>1437</v>
      </c>
      <c r="K275" s="13" t="s">
        <v>1438</v>
      </c>
      <c r="L275" s="13" t="s">
        <v>497</v>
      </c>
    </row>
    <row r="276" spans="1:12" x14ac:dyDescent="0.3">
      <c r="A276" t="s">
        <v>22</v>
      </c>
      <c r="B276" t="s">
        <v>672</v>
      </c>
      <c r="C276" s="23" t="s">
        <v>498</v>
      </c>
      <c r="D276" t="s">
        <v>1203</v>
      </c>
      <c r="F276" t="s">
        <v>220</v>
      </c>
      <c r="G276" t="s">
        <v>499</v>
      </c>
      <c r="H276" t="s">
        <v>1403</v>
      </c>
      <c r="I276" s="13" t="s">
        <v>919</v>
      </c>
      <c r="J276" s="13" t="s">
        <v>1437</v>
      </c>
      <c r="K276" s="13" t="s">
        <v>1438</v>
      </c>
      <c r="L276" s="13" t="s">
        <v>499</v>
      </c>
    </row>
    <row r="277" spans="1:12" x14ac:dyDescent="0.3">
      <c r="A277" t="s">
        <v>22</v>
      </c>
      <c r="B277" t="s">
        <v>950</v>
      </c>
      <c r="C277" s="23" t="s">
        <v>500</v>
      </c>
      <c r="D277" t="s">
        <v>1204</v>
      </c>
      <c r="F277" t="s">
        <v>220</v>
      </c>
      <c r="G277" t="s">
        <v>501</v>
      </c>
      <c r="H277" t="s">
        <v>1404</v>
      </c>
      <c r="I277" s="13" t="s">
        <v>951</v>
      </c>
      <c r="J277" s="13" t="s">
        <v>1437</v>
      </c>
      <c r="K277" s="13" t="s">
        <v>1438</v>
      </c>
      <c r="L277" s="13" t="s">
        <v>501</v>
      </c>
    </row>
    <row r="278" spans="1:12" x14ac:dyDescent="0.3">
      <c r="A278" t="s">
        <v>22</v>
      </c>
      <c r="B278" t="s">
        <v>673</v>
      </c>
      <c r="C278" s="23" t="s">
        <v>502</v>
      </c>
      <c r="D278" t="s">
        <v>1205</v>
      </c>
      <c r="F278" t="s">
        <v>220</v>
      </c>
      <c r="G278" t="s">
        <v>503</v>
      </c>
      <c r="H278" t="s">
        <v>1405</v>
      </c>
      <c r="I278" s="13" t="s">
        <v>920</v>
      </c>
      <c r="J278" s="13" t="s">
        <v>1437</v>
      </c>
      <c r="K278" s="13" t="s">
        <v>1438</v>
      </c>
      <c r="L278" s="13" t="s">
        <v>503</v>
      </c>
    </row>
    <row r="279" spans="1:12" x14ac:dyDescent="0.3">
      <c r="A279" t="s">
        <v>22</v>
      </c>
      <c r="B279" t="s">
        <v>1003</v>
      </c>
      <c r="C279" s="23" t="s">
        <v>1001</v>
      </c>
      <c r="D279" t="s">
        <v>1101</v>
      </c>
      <c r="F279" t="s">
        <v>220</v>
      </c>
      <c r="G279" t="s">
        <v>1002</v>
      </c>
      <c r="H279" t="s">
        <v>1302</v>
      </c>
      <c r="I279" s="13" t="s">
        <v>1004</v>
      </c>
      <c r="J279" s="13" t="s">
        <v>1437</v>
      </c>
      <c r="K279" s="13" t="s">
        <v>1438</v>
      </c>
      <c r="L279" s="13" t="s">
        <v>1488</v>
      </c>
    </row>
    <row r="280" spans="1:12" x14ac:dyDescent="0.3">
      <c r="A280" t="s">
        <v>22</v>
      </c>
      <c r="B280" t="s">
        <v>674</v>
      </c>
      <c r="C280" s="23" t="s">
        <v>54</v>
      </c>
      <c r="D280" t="s">
        <v>1206</v>
      </c>
      <c r="F280" t="s">
        <v>220</v>
      </c>
      <c r="G280" t="s">
        <v>418</v>
      </c>
      <c r="H280" t="s">
        <v>1433</v>
      </c>
      <c r="I280" s="13" t="s">
        <v>952</v>
      </c>
      <c r="J280" s="13" t="s">
        <v>1437</v>
      </c>
      <c r="K280" s="13" t="s">
        <v>1438</v>
      </c>
      <c r="L280" s="13" t="s">
        <v>1489</v>
      </c>
    </row>
    <row r="281" spans="1:12" x14ac:dyDescent="0.3">
      <c r="A281" t="s">
        <v>22</v>
      </c>
      <c r="B281" t="s">
        <v>1026</v>
      </c>
      <c r="C281" s="23" t="s">
        <v>1001</v>
      </c>
      <c r="D281" t="s">
        <v>1207</v>
      </c>
      <c r="F281" t="s">
        <v>220</v>
      </c>
      <c r="G281" t="s">
        <v>1002</v>
      </c>
      <c r="H281" t="s">
        <v>1406</v>
      </c>
      <c r="I281" s="13" t="s">
        <v>1027</v>
      </c>
      <c r="J281" s="13" t="s">
        <v>1437</v>
      </c>
      <c r="K281" s="13" t="s">
        <v>1438</v>
      </c>
      <c r="L281" s="13" t="s">
        <v>1490</v>
      </c>
    </row>
    <row r="282" spans="1:12" x14ac:dyDescent="0.3">
      <c r="A282" t="s">
        <v>22</v>
      </c>
      <c r="B282" t="s">
        <v>1030</v>
      </c>
      <c r="C282" s="23" t="s">
        <v>1028</v>
      </c>
      <c r="D282" t="s">
        <v>1208</v>
      </c>
      <c r="F282" t="s">
        <v>220</v>
      </c>
      <c r="G282" t="s">
        <v>1029</v>
      </c>
      <c r="H282" t="s">
        <v>1407</v>
      </c>
      <c r="I282" s="13" t="s">
        <v>1031</v>
      </c>
      <c r="J282" s="13" t="s">
        <v>1437</v>
      </c>
      <c r="K282" s="13" t="s">
        <v>1438</v>
      </c>
      <c r="L282" s="13" t="s">
        <v>1029</v>
      </c>
    </row>
    <row r="283" spans="1:12" x14ac:dyDescent="0.3">
      <c r="A283" t="s">
        <v>22</v>
      </c>
      <c r="B283" t="s">
        <v>1034</v>
      </c>
      <c r="C283" s="23" t="s">
        <v>1032</v>
      </c>
      <c r="D283" t="s">
        <v>1209</v>
      </c>
      <c r="F283" t="s">
        <v>220</v>
      </c>
      <c r="G283" t="s">
        <v>1033</v>
      </c>
      <c r="H283" t="s">
        <v>1408</v>
      </c>
      <c r="I283" s="13" t="s">
        <v>1035</v>
      </c>
      <c r="J283" s="13" t="s">
        <v>1437</v>
      </c>
      <c r="K283" s="13" t="s">
        <v>1438</v>
      </c>
      <c r="L283" s="13" t="s">
        <v>1033</v>
      </c>
    </row>
    <row r="284" spans="1:12" x14ac:dyDescent="0.3">
      <c r="A284" t="s">
        <v>22</v>
      </c>
      <c r="B284" t="s">
        <v>1067</v>
      </c>
      <c r="C284" s="23" t="s">
        <v>1065</v>
      </c>
      <c r="D284" t="s">
        <v>1210</v>
      </c>
      <c r="F284" t="s">
        <v>220</v>
      </c>
      <c r="G284" t="s">
        <v>1066</v>
      </c>
      <c r="H284" t="s">
        <v>1409</v>
      </c>
      <c r="I284" s="13" t="s">
        <v>1068</v>
      </c>
      <c r="J284" s="13" t="s">
        <v>1437</v>
      </c>
      <c r="K284" s="13" t="s">
        <v>1438</v>
      </c>
      <c r="L284" s="13" t="s">
        <v>1066</v>
      </c>
    </row>
    <row r="285" spans="1:12" x14ac:dyDescent="0.3">
      <c r="A285" t="s">
        <v>22</v>
      </c>
      <c r="B285" t="s">
        <v>1496</v>
      </c>
      <c r="C285" s="23" t="s">
        <v>1497</v>
      </c>
      <c r="D285" t="s">
        <v>1498</v>
      </c>
      <c r="F285" t="s">
        <v>220</v>
      </c>
      <c r="G285" t="s">
        <v>1491</v>
      </c>
      <c r="H285" t="s">
        <v>1499</v>
      </c>
      <c r="I285" s="13" t="s">
        <v>1500</v>
      </c>
      <c r="J285" s="13" t="s">
        <v>1437</v>
      </c>
      <c r="K285" s="13" t="s">
        <v>1438</v>
      </c>
      <c r="L285" s="13" t="s">
        <v>1491</v>
      </c>
    </row>
    <row r="286" spans="1:12" x14ac:dyDescent="0.3">
      <c r="A286" t="s">
        <v>22</v>
      </c>
      <c r="B286" t="s">
        <v>1501</v>
      </c>
      <c r="C286" s="23" t="s">
        <v>531</v>
      </c>
      <c r="D286" t="s">
        <v>1502</v>
      </c>
      <c r="F286" t="s">
        <v>220</v>
      </c>
      <c r="G286" t="s">
        <v>173</v>
      </c>
      <c r="H286" t="s">
        <v>1503</v>
      </c>
      <c r="I286" s="13" t="s">
        <v>1504</v>
      </c>
      <c r="J286" s="13" t="s">
        <v>1437</v>
      </c>
      <c r="K286" s="13" t="s">
        <v>1438</v>
      </c>
      <c r="L286" s="13" t="s">
        <v>173</v>
      </c>
    </row>
    <row r="287" spans="1:12" x14ac:dyDescent="0.3">
      <c r="A287" t="s">
        <v>22</v>
      </c>
      <c r="B287" t="s">
        <v>675</v>
      </c>
      <c r="C287" s="23" t="s">
        <v>554</v>
      </c>
      <c r="D287" t="s">
        <v>1071</v>
      </c>
      <c r="F287" t="s">
        <v>219</v>
      </c>
      <c r="G287" t="s">
        <v>553</v>
      </c>
      <c r="H287" t="s">
        <v>553</v>
      </c>
      <c r="I287" s="13" t="s">
        <v>1064</v>
      </c>
      <c r="J287" s="13" t="s">
        <v>1437</v>
      </c>
      <c r="K287" s="13" t="s">
        <v>1438</v>
      </c>
      <c r="L287" s="13" t="s">
        <v>553</v>
      </c>
    </row>
    <row r="288" spans="1:12" x14ac:dyDescent="0.3">
      <c r="A288" t="s">
        <v>22</v>
      </c>
      <c r="B288" t="s">
        <v>676</v>
      </c>
      <c r="C288" s="23" t="s">
        <v>68</v>
      </c>
      <c r="D288" t="s">
        <v>1072</v>
      </c>
      <c r="F288" t="s">
        <v>219</v>
      </c>
      <c r="G288" t="s">
        <v>380</v>
      </c>
      <c r="H288" t="s">
        <v>1273</v>
      </c>
      <c r="I288" s="13" t="s">
        <v>811</v>
      </c>
      <c r="J288" s="13" t="s">
        <v>1438</v>
      </c>
      <c r="K288" s="13" t="s">
        <v>1437</v>
      </c>
      <c r="L288" s="13" t="s">
        <v>380</v>
      </c>
    </row>
    <row r="289" spans="1:12" x14ac:dyDescent="0.3">
      <c r="A289" t="s">
        <v>22</v>
      </c>
      <c r="B289" t="s">
        <v>677</v>
      </c>
      <c r="C289" s="23" t="s">
        <v>446</v>
      </c>
      <c r="D289" t="s">
        <v>1211</v>
      </c>
      <c r="F289" t="s">
        <v>219</v>
      </c>
      <c r="G289" t="s">
        <v>447</v>
      </c>
      <c r="H289" t="s">
        <v>1274</v>
      </c>
      <c r="I289" s="13" t="s">
        <v>812</v>
      </c>
      <c r="J289" s="13" t="s">
        <v>1437</v>
      </c>
      <c r="K289" s="13" t="s">
        <v>1438</v>
      </c>
      <c r="L289" s="13" t="s">
        <v>1469</v>
      </c>
    </row>
    <row r="290" spans="1:12" x14ac:dyDescent="0.3">
      <c r="A290" t="s">
        <v>22</v>
      </c>
      <c r="B290" t="s">
        <v>678</v>
      </c>
      <c r="C290" s="23" t="s">
        <v>52</v>
      </c>
      <c r="D290" t="s">
        <v>1074</v>
      </c>
      <c r="F290" t="s">
        <v>219</v>
      </c>
      <c r="G290" t="s">
        <v>416</v>
      </c>
      <c r="H290" t="s">
        <v>1275</v>
      </c>
      <c r="I290" s="13" t="s">
        <v>813</v>
      </c>
      <c r="J290" s="13" t="s">
        <v>1437</v>
      </c>
      <c r="K290" s="13" t="s">
        <v>1438</v>
      </c>
      <c r="L290" s="13" t="s">
        <v>416</v>
      </c>
    </row>
    <row r="291" spans="1:12" x14ac:dyDescent="0.3">
      <c r="A291" t="s">
        <v>22</v>
      </c>
      <c r="B291" t="s">
        <v>679</v>
      </c>
      <c r="C291" s="23" t="s">
        <v>448</v>
      </c>
      <c r="D291" t="s">
        <v>1075</v>
      </c>
      <c r="F291" t="s">
        <v>219</v>
      </c>
      <c r="G291" t="s">
        <v>449</v>
      </c>
      <c r="H291" t="s">
        <v>1276</v>
      </c>
      <c r="I291" s="13" t="s">
        <v>1064</v>
      </c>
      <c r="J291" s="13" t="s">
        <v>1437</v>
      </c>
      <c r="K291" s="13" t="s">
        <v>1438</v>
      </c>
      <c r="L291" s="13" t="s">
        <v>449</v>
      </c>
    </row>
    <row r="292" spans="1:12" x14ac:dyDescent="0.3">
      <c r="A292" t="s">
        <v>22</v>
      </c>
      <c r="B292" t="s">
        <v>680</v>
      </c>
      <c r="C292" s="23" t="s">
        <v>450</v>
      </c>
      <c r="D292" t="s">
        <v>1212</v>
      </c>
      <c r="F292" t="s">
        <v>219</v>
      </c>
      <c r="G292" t="s">
        <v>504</v>
      </c>
      <c r="H292" t="s">
        <v>1277</v>
      </c>
      <c r="I292" s="13" t="s">
        <v>814</v>
      </c>
      <c r="J292" s="13" t="s">
        <v>1437</v>
      </c>
      <c r="K292" s="13" t="s">
        <v>1438</v>
      </c>
      <c r="L292" s="13" t="s">
        <v>383</v>
      </c>
    </row>
    <row r="293" spans="1:12" x14ac:dyDescent="0.3">
      <c r="A293" t="s">
        <v>22</v>
      </c>
      <c r="B293" t="s">
        <v>681</v>
      </c>
      <c r="C293" s="23" t="s">
        <v>73</v>
      </c>
      <c r="D293" t="s">
        <v>1077</v>
      </c>
      <c r="F293" t="s">
        <v>219</v>
      </c>
      <c r="G293" t="s">
        <v>398</v>
      </c>
      <c r="H293" t="s">
        <v>1278</v>
      </c>
      <c r="I293" s="13" t="s">
        <v>815</v>
      </c>
      <c r="J293" s="13" t="s">
        <v>1437</v>
      </c>
      <c r="K293" s="13" t="s">
        <v>1438</v>
      </c>
      <c r="L293" s="13" t="s">
        <v>398</v>
      </c>
    </row>
    <row r="294" spans="1:12" x14ac:dyDescent="0.3">
      <c r="A294" t="s">
        <v>22</v>
      </c>
      <c r="B294" t="s">
        <v>682</v>
      </c>
      <c r="C294" s="23" t="s">
        <v>505</v>
      </c>
      <c r="D294" t="s">
        <v>1213</v>
      </c>
      <c r="F294" t="s">
        <v>219</v>
      </c>
      <c r="G294" t="s">
        <v>506</v>
      </c>
      <c r="H294" t="s">
        <v>1279</v>
      </c>
      <c r="I294" s="13" t="s">
        <v>816</v>
      </c>
      <c r="J294" s="13" t="s">
        <v>1437</v>
      </c>
      <c r="K294" s="13" t="s">
        <v>1438</v>
      </c>
      <c r="L294" s="13" t="s">
        <v>182</v>
      </c>
    </row>
    <row r="295" spans="1:12" x14ac:dyDescent="0.3">
      <c r="A295" t="s">
        <v>22</v>
      </c>
      <c r="B295" t="s">
        <v>683</v>
      </c>
      <c r="C295" s="23" t="s">
        <v>451</v>
      </c>
      <c r="D295" t="s">
        <v>1214</v>
      </c>
      <c r="F295" t="s">
        <v>219</v>
      </c>
      <c r="G295" t="s">
        <v>507</v>
      </c>
      <c r="H295" t="s">
        <v>1280</v>
      </c>
      <c r="I295" s="13" t="s">
        <v>817</v>
      </c>
      <c r="J295" s="13" t="s">
        <v>1437</v>
      </c>
      <c r="K295" s="13" t="s">
        <v>1438</v>
      </c>
      <c r="L295" s="13" t="s">
        <v>387</v>
      </c>
    </row>
    <row r="296" spans="1:12" x14ac:dyDescent="0.3">
      <c r="A296" t="s">
        <v>22</v>
      </c>
      <c r="B296" t="s">
        <v>684</v>
      </c>
      <c r="C296" s="23" t="s">
        <v>452</v>
      </c>
      <c r="D296" t="s">
        <v>1080</v>
      </c>
      <c r="F296" t="s">
        <v>219</v>
      </c>
      <c r="G296" t="s">
        <v>453</v>
      </c>
      <c r="H296" t="s">
        <v>1281</v>
      </c>
      <c r="I296" s="13" t="s">
        <v>818</v>
      </c>
      <c r="J296" s="13" t="s">
        <v>1437</v>
      </c>
      <c r="K296" s="13" t="s">
        <v>1438</v>
      </c>
      <c r="L296" s="13" t="s">
        <v>453</v>
      </c>
    </row>
    <row r="297" spans="1:12" x14ac:dyDescent="0.3">
      <c r="A297" t="s">
        <v>22</v>
      </c>
      <c r="B297" t="s">
        <v>685</v>
      </c>
      <c r="C297" s="23" t="s">
        <v>454</v>
      </c>
      <c r="D297" t="s">
        <v>1081</v>
      </c>
      <c r="F297" t="s">
        <v>219</v>
      </c>
      <c r="G297" t="s">
        <v>455</v>
      </c>
      <c r="H297" t="s">
        <v>1282</v>
      </c>
      <c r="I297" s="13" t="s">
        <v>1064</v>
      </c>
      <c r="J297" s="13" t="s">
        <v>1437</v>
      </c>
      <c r="K297" s="13" t="s">
        <v>1438</v>
      </c>
      <c r="L297" s="13" t="s">
        <v>455</v>
      </c>
    </row>
    <row r="298" spans="1:12" x14ac:dyDescent="0.3">
      <c r="A298" t="s">
        <v>22</v>
      </c>
      <c r="B298" t="s">
        <v>686</v>
      </c>
      <c r="C298" s="23" t="s">
        <v>130</v>
      </c>
      <c r="D298" t="s">
        <v>1082</v>
      </c>
      <c r="F298" t="s">
        <v>219</v>
      </c>
      <c r="G298" t="s">
        <v>163</v>
      </c>
      <c r="H298" t="s">
        <v>1283</v>
      </c>
      <c r="I298" s="13" t="s">
        <v>819</v>
      </c>
      <c r="J298" s="13" t="s">
        <v>1437</v>
      </c>
      <c r="K298" s="13" t="s">
        <v>1438</v>
      </c>
      <c r="L298" s="13" t="s">
        <v>163</v>
      </c>
    </row>
    <row r="299" spans="1:12" x14ac:dyDescent="0.3">
      <c r="A299" t="s">
        <v>22</v>
      </c>
      <c r="B299" t="s">
        <v>687</v>
      </c>
      <c r="C299" s="23" t="s">
        <v>53</v>
      </c>
      <c r="D299" t="s">
        <v>1083</v>
      </c>
      <c r="F299" t="s">
        <v>219</v>
      </c>
      <c r="G299" t="s">
        <v>417</v>
      </c>
      <c r="H299" t="s">
        <v>1284</v>
      </c>
      <c r="I299" s="13" t="s">
        <v>820</v>
      </c>
      <c r="J299" s="13" t="s">
        <v>1437</v>
      </c>
      <c r="K299" s="13" t="s">
        <v>1438</v>
      </c>
      <c r="L299" s="13" t="s">
        <v>417</v>
      </c>
    </row>
    <row r="300" spans="1:12" x14ac:dyDescent="0.3">
      <c r="A300" t="s">
        <v>22</v>
      </c>
      <c r="B300" t="s">
        <v>688</v>
      </c>
      <c r="C300" s="23" t="s">
        <v>148</v>
      </c>
      <c r="D300" t="s">
        <v>1084</v>
      </c>
      <c r="F300" t="s">
        <v>219</v>
      </c>
      <c r="G300" t="s">
        <v>404</v>
      </c>
      <c r="H300" t="s">
        <v>1285</v>
      </c>
      <c r="I300" s="13" t="s">
        <v>821</v>
      </c>
      <c r="J300" s="13" t="s">
        <v>1437</v>
      </c>
      <c r="K300" s="13" t="s">
        <v>1438</v>
      </c>
      <c r="L300" s="13" t="s">
        <v>404</v>
      </c>
    </row>
    <row r="301" spans="1:12" x14ac:dyDescent="0.3">
      <c r="A301" t="s">
        <v>22</v>
      </c>
      <c r="B301" t="s">
        <v>689</v>
      </c>
      <c r="C301" s="23" t="s">
        <v>70</v>
      </c>
      <c r="D301" t="s">
        <v>1085</v>
      </c>
      <c r="F301" t="s">
        <v>219</v>
      </c>
      <c r="G301" t="s">
        <v>382</v>
      </c>
      <c r="H301" t="s">
        <v>1286</v>
      </c>
      <c r="I301" s="13" t="s">
        <v>822</v>
      </c>
      <c r="J301" s="13" t="s">
        <v>1437</v>
      </c>
      <c r="K301" s="13" t="s">
        <v>1438</v>
      </c>
      <c r="L301" s="13" t="s">
        <v>382</v>
      </c>
    </row>
    <row r="302" spans="1:12" x14ac:dyDescent="0.3">
      <c r="A302" t="s">
        <v>22</v>
      </c>
      <c r="B302" t="s">
        <v>690</v>
      </c>
      <c r="C302" s="23" t="s">
        <v>508</v>
      </c>
      <c r="D302" t="s">
        <v>1215</v>
      </c>
      <c r="F302" t="s">
        <v>219</v>
      </c>
      <c r="G302" t="s">
        <v>509</v>
      </c>
      <c r="H302" t="s">
        <v>1287</v>
      </c>
      <c r="I302" s="13" t="s">
        <v>823</v>
      </c>
      <c r="J302" s="13" t="s">
        <v>1437</v>
      </c>
      <c r="K302" s="13" t="s">
        <v>1438</v>
      </c>
      <c r="L302" s="13" t="s">
        <v>386</v>
      </c>
    </row>
    <row r="303" spans="1:12" x14ac:dyDescent="0.3">
      <c r="A303" t="s">
        <v>22</v>
      </c>
      <c r="B303" t="s">
        <v>691</v>
      </c>
      <c r="C303" s="23" t="s">
        <v>510</v>
      </c>
      <c r="D303" t="s">
        <v>1216</v>
      </c>
      <c r="F303" t="s">
        <v>219</v>
      </c>
      <c r="G303" t="s">
        <v>511</v>
      </c>
      <c r="H303" t="s">
        <v>1288</v>
      </c>
      <c r="I303" s="13" t="s">
        <v>824</v>
      </c>
      <c r="J303" s="13" t="s">
        <v>1437</v>
      </c>
      <c r="K303" s="13" t="s">
        <v>1438</v>
      </c>
      <c r="L303" s="13" t="s">
        <v>457</v>
      </c>
    </row>
    <row r="304" spans="1:12" x14ac:dyDescent="0.3">
      <c r="A304" t="s">
        <v>22</v>
      </c>
      <c r="B304" t="s">
        <v>692</v>
      </c>
      <c r="C304" s="23" t="s">
        <v>512</v>
      </c>
      <c r="D304" t="s">
        <v>1217</v>
      </c>
      <c r="F304" t="s">
        <v>219</v>
      </c>
      <c r="G304" t="s">
        <v>513</v>
      </c>
      <c r="H304" t="s">
        <v>1289</v>
      </c>
      <c r="I304" s="13" t="s">
        <v>825</v>
      </c>
      <c r="J304" s="13" t="s">
        <v>1437</v>
      </c>
      <c r="K304" s="13" t="s">
        <v>1438</v>
      </c>
      <c r="L304" s="13" t="s">
        <v>390</v>
      </c>
    </row>
    <row r="305" spans="1:12" x14ac:dyDescent="0.3">
      <c r="A305" t="s">
        <v>22</v>
      </c>
      <c r="B305" t="s">
        <v>693</v>
      </c>
      <c r="C305" s="23" t="s">
        <v>213</v>
      </c>
      <c r="D305" t="s">
        <v>1089</v>
      </c>
      <c r="F305" t="s">
        <v>219</v>
      </c>
      <c r="G305" t="s">
        <v>212</v>
      </c>
      <c r="H305" t="s">
        <v>1290</v>
      </c>
      <c r="I305" s="13" t="s">
        <v>826</v>
      </c>
      <c r="J305" s="13" t="s">
        <v>1437</v>
      </c>
      <c r="K305" s="13" t="s">
        <v>1438</v>
      </c>
      <c r="L305" s="13" t="s">
        <v>212</v>
      </c>
    </row>
    <row r="306" spans="1:12" x14ac:dyDescent="0.3">
      <c r="A306" t="s">
        <v>22</v>
      </c>
      <c r="B306" t="s">
        <v>921</v>
      </c>
      <c r="C306" s="23" t="s">
        <v>459</v>
      </c>
      <c r="D306" t="s">
        <v>1090</v>
      </c>
      <c r="F306" t="s">
        <v>219</v>
      </c>
      <c r="G306" t="s">
        <v>514</v>
      </c>
      <c r="H306" t="s">
        <v>1291</v>
      </c>
      <c r="I306" s="13" t="s">
        <v>828</v>
      </c>
      <c r="J306" s="13" t="s">
        <v>1437</v>
      </c>
      <c r="K306" s="13" t="s">
        <v>1438</v>
      </c>
      <c r="L306" s="13" t="s">
        <v>1470</v>
      </c>
    </row>
    <row r="307" spans="1:12" x14ac:dyDescent="0.3">
      <c r="A307" t="s">
        <v>22</v>
      </c>
      <c r="B307" t="s">
        <v>694</v>
      </c>
      <c r="C307" s="23" t="s">
        <v>459</v>
      </c>
      <c r="D307" t="s">
        <v>1091</v>
      </c>
      <c r="F307" t="s">
        <v>219</v>
      </c>
      <c r="G307" t="s">
        <v>514</v>
      </c>
      <c r="H307" t="s">
        <v>1292</v>
      </c>
      <c r="I307" s="13" t="s">
        <v>922</v>
      </c>
      <c r="J307" s="13" t="s">
        <v>1437</v>
      </c>
      <c r="K307" s="13" t="s">
        <v>1438</v>
      </c>
      <c r="L307" s="13" t="s">
        <v>1471</v>
      </c>
    </row>
    <row r="308" spans="1:12" x14ac:dyDescent="0.3">
      <c r="A308" t="s">
        <v>22</v>
      </c>
      <c r="B308" t="s">
        <v>695</v>
      </c>
      <c r="C308" s="23" t="s">
        <v>459</v>
      </c>
      <c r="D308" t="s">
        <v>1092</v>
      </c>
      <c r="F308" t="s">
        <v>219</v>
      </c>
      <c r="G308" t="s">
        <v>514</v>
      </c>
      <c r="H308" t="s">
        <v>1293</v>
      </c>
      <c r="I308" s="13" t="s">
        <v>829</v>
      </c>
      <c r="J308" s="13" t="s">
        <v>1437</v>
      </c>
      <c r="K308" s="13" t="s">
        <v>1438</v>
      </c>
      <c r="L308" s="13" t="s">
        <v>1472</v>
      </c>
    </row>
    <row r="309" spans="1:12" x14ac:dyDescent="0.3">
      <c r="A309" t="s">
        <v>22</v>
      </c>
      <c r="B309" t="s">
        <v>696</v>
      </c>
      <c r="C309" s="23" t="s">
        <v>460</v>
      </c>
      <c r="D309" t="s">
        <v>1093</v>
      </c>
      <c r="F309" t="s">
        <v>219</v>
      </c>
      <c r="G309" t="s">
        <v>209</v>
      </c>
      <c r="H309" t="s">
        <v>1294</v>
      </c>
      <c r="I309" s="13" t="s">
        <v>830</v>
      </c>
      <c r="J309" s="13" t="s">
        <v>1437</v>
      </c>
      <c r="K309" s="13" t="s">
        <v>1438</v>
      </c>
      <c r="L309" s="13" t="s">
        <v>209</v>
      </c>
    </row>
    <row r="310" spans="1:12" x14ac:dyDescent="0.3">
      <c r="A310" t="s">
        <v>22</v>
      </c>
      <c r="B310" t="s">
        <v>697</v>
      </c>
      <c r="C310" s="23" t="s">
        <v>461</v>
      </c>
      <c r="D310" t="s">
        <v>1094</v>
      </c>
      <c r="F310" t="s">
        <v>219</v>
      </c>
      <c r="G310" t="s">
        <v>462</v>
      </c>
      <c r="H310" t="s">
        <v>1295</v>
      </c>
      <c r="I310" s="13" t="s">
        <v>831</v>
      </c>
      <c r="J310" s="13" t="s">
        <v>1437</v>
      </c>
      <c r="K310" s="13" t="s">
        <v>1438</v>
      </c>
      <c r="L310" s="13" t="s">
        <v>462</v>
      </c>
    </row>
    <row r="311" spans="1:12" x14ac:dyDescent="0.3">
      <c r="A311" t="s">
        <v>22</v>
      </c>
      <c r="B311" t="s">
        <v>698</v>
      </c>
      <c r="C311" s="23" t="s">
        <v>515</v>
      </c>
      <c r="D311" t="s">
        <v>1095</v>
      </c>
      <c r="F311" t="s">
        <v>219</v>
      </c>
      <c r="G311" t="s">
        <v>516</v>
      </c>
      <c r="H311" t="s">
        <v>1296</v>
      </c>
      <c r="I311" s="13" t="s">
        <v>832</v>
      </c>
      <c r="J311" s="13" t="s">
        <v>1437</v>
      </c>
      <c r="K311" s="13" t="s">
        <v>1438</v>
      </c>
      <c r="L311" s="13" t="s">
        <v>384</v>
      </c>
    </row>
    <row r="312" spans="1:12" x14ac:dyDescent="0.3">
      <c r="A312" t="s">
        <v>22</v>
      </c>
      <c r="B312" t="s">
        <v>1522</v>
      </c>
      <c r="C312" s="23" t="s">
        <v>1517</v>
      </c>
      <c r="D312" t="s">
        <v>1518</v>
      </c>
      <c r="F312" t="s">
        <v>219</v>
      </c>
      <c r="G312" t="s">
        <v>1519</v>
      </c>
      <c r="H312" t="s">
        <v>1520</v>
      </c>
      <c r="I312" s="13" t="s">
        <v>1064</v>
      </c>
      <c r="J312" s="13" t="s">
        <v>1437</v>
      </c>
      <c r="K312" s="13" t="s">
        <v>1438</v>
      </c>
      <c r="L312" s="13" t="s">
        <v>1519</v>
      </c>
    </row>
    <row r="313" spans="1:12" x14ac:dyDescent="0.3">
      <c r="A313" t="s">
        <v>22</v>
      </c>
      <c r="B313" t="s">
        <v>699</v>
      </c>
      <c r="C313" s="23" t="s">
        <v>1419</v>
      </c>
      <c r="D313" t="s">
        <v>1096</v>
      </c>
      <c r="F313" t="s">
        <v>219</v>
      </c>
      <c r="G313" t="s">
        <v>517</v>
      </c>
      <c r="H313" t="s">
        <v>1297</v>
      </c>
      <c r="I313" s="13" t="s">
        <v>833</v>
      </c>
      <c r="J313" s="13" t="s">
        <v>1437</v>
      </c>
      <c r="K313" s="13" t="s">
        <v>1438</v>
      </c>
      <c r="L313" s="13" t="s">
        <v>517</v>
      </c>
    </row>
    <row r="314" spans="1:12" x14ac:dyDescent="0.3">
      <c r="A314" t="s">
        <v>22</v>
      </c>
      <c r="B314" t="s">
        <v>700</v>
      </c>
      <c r="C314" s="23" t="s">
        <v>62</v>
      </c>
      <c r="D314" t="s">
        <v>1097</v>
      </c>
      <c r="F314" t="s">
        <v>219</v>
      </c>
      <c r="G314" t="s">
        <v>161</v>
      </c>
      <c r="H314" t="s">
        <v>1298</v>
      </c>
      <c r="I314" s="13" t="s">
        <v>834</v>
      </c>
      <c r="J314" s="13" t="s">
        <v>1437</v>
      </c>
      <c r="K314" s="13" t="s">
        <v>1438</v>
      </c>
      <c r="L314" s="13" t="s">
        <v>161</v>
      </c>
    </row>
    <row r="315" spans="1:12" x14ac:dyDescent="0.3">
      <c r="A315" t="s">
        <v>22</v>
      </c>
      <c r="B315" t="s">
        <v>701</v>
      </c>
      <c r="C315" s="23" t="s">
        <v>45</v>
      </c>
      <c r="D315" t="s">
        <v>1098</v>
      </c>
      <c r="F315" t="s">
        <v>219</v>
      </c>
      <c r="G315" t="s">
        <v>168</v>
      </c>
      <c r="H315" t="s">
        <v>1299</v>
      </c>
      <c r="I315" s="13" t="s">
        <v>835</v>
      </c>
      <c r="J315" s="13" t="s">
        <v>1437</v>
      </c>
      <c r="K315" s="13" t="s">
        <v>1438</v>
      </c>
      <c r="L315" s="13" t="s">
        <v>168</v>
      </c>
    </row>
    <row r="316" spans="1:12" x14ac:dyDescent="0.3">
      <c r="A316" t="s">
        <v>22</v>
      </c>
      <c r="B316" t="s">
        <v>702</v>
      </c>
      <c r="C316" s="23" t="s">
        <v>48</v>
      </c>
      <c r="D316" t="s">
        <v>1099</v>
      </c>
      <c r="F316" t="s">
        <v>219</v>
      </c>
      <c r="G316" t="s">
        <v>395</v>
      </c>
      <c r="H316" t="s">
        <v>1300</v>
      </c>
      <c r="I316" s="13" t="s">
        <v>836</v>
      </c>
      <c r="J316" s="13" t="s">
        <v>1437</v>
      </c>
      <c r="K316" s="13" t="s">
        <v>1438</v>
      </c>
      <c r="L316" s="13" t="s">
        <v>395</v>
      </c>
    </row>
    <row r="317" spans="1:12" x14ac:dyDescent="0.3">
      <c r="A317" t="s">
        <v>22</v>
      </c>
      <c r="B317" t="s">
        <v>703</v>
      </c>
      <c r="C317" s="23" t="s">
        <v>518</v>
      </c>
      <c r="D317" t="s">
        <v>1100</v>
      </c>
      <c r="F317" t="s">
        <v>219</v>
      </c>
      <c r="G317" t="s">
        <v>519</v>
      </c>
      <c r="H317" t="s">
        <v>1301</v>
      </c>
      <c r="I317" s="13" t="s">
        <v>837</v>
      </c>
      <c r="J317" s="13" t="s">
        <v>1437</v>
      </c>
      <c r="K317" s="13" t="s">
        <v>1438</v>
      </c>
      <c r="L317" s="13" t="s">
        <v>396</v>
      </c>
    </row>
    <row r="318" spans="1:12" x14ac:dyDescent="0.3">
      <c r="A318" t="s">
        <v>22</v>
      </c>
      <c r="B318" t="s">
        <v>704</v>
      </c>
      <c r="C318" s="23" t="s">
        <v>520</v>
      </c>
      <c r="D318" t="s">
        <v>1218</v>
      </c>
      <c r="F318" t="s">
        <v>219</v>
      </c>
      <c r="G318" t="s">
        <v>521</v>
      </c>
      <c r="H318" t="s">
        <v>1303</v>
      </c>
      <c r="I318" s="13" t="s">
        <v>838</v>
      </c>
      <c r="J318" s="13" t="s">
        <v>1437</v>
      </c>
      <c r="K318" s="13" t="s">
        <v>1438</v>
      </c>
      <c r="L318" s="13" t="s">
        <v>175</v>
      </c>
    </row>
    <row r="319" spans="1:12" x14ac:dyDescent="0.3">
      <c r="A319" t="s">
        <v>22</v>
      </c>
      <c r="B319" t="s">
        <v>705</v>
      </c>
      <c r="C319" s="23" t="s">
        <v>71</v>
      </c>
      <c r="D319" t="s">
        <v>1103</v>
      </c>
      <c r="F319" t="s">
        <v>219</v>
      </c>
      <c r="G319" t="s">
        <v>406</v>
      </c>
      <c r="H319" t="s">
        <v>1304</v>
      </c>
      <c r="I319" s="13" t="s">
        <v>839</v>
      </c>
      <c r="J319" s="13" t="s">
        <v>1437</v>
      </c>
      <c r="K319" s="13" t="s">
        <v>1438</v>
      </c>
      <c r="L319" s="13" t="s">
        <v>406</v>
      </c>
    </row>
    <row r="320" spans="1:12" x14ac:dyDescent="0.3">
      <c r="A320" t="s">
        <v>22</v>
      </c>
      <c r="B320" t="s">
        <v>706</v>
      </c>
      <c r="C320" s="23" t="s">
        <v>522</v>
      </c>
      <c r="D320" t="s">
        <v>1219</v>
      </c>
      <c r="F320" t="s">
        <v>219</v>
      </c>
      <c r="G320" t="s">
        <v>523</v>
      </c>
      <c r="H320" t="s">
        <v>1305</v>
      </c>
      <c r="I320" s="13" t="s">
        <v>840</v>
      </c>
      <c r="J320" s="13" t="s">
        <v>1437</v>
      </c>
      <c r="K320" s="13" t="s">
        <v>1438</v>
      </c>
      <c r="L320" s="13" t="s">
        <v>407</v>
      </c>
    </row>
    <row r="321" spans="1:12" x14ac:dyDescent="0.3">
      <c r="A321" t="s">
        <v>22</v>
      </c>
      <c r="B321" t="s">
        <v>707</v>
      </c>
      <c r="C321" s="23" t="s">
        <v>463</v>
      </c>
      <c r="D321" t="s">
        <v>1105</v>
      </c>
      <c r="F321" t="s">
        <v>219</v>
      </c>
      <c r="G321" t="s">
        <v>464</v>
      </c>
      <c r="H321" t="s">
        <v>1306</v>
      </c>
      <c r="I321" s="13" t="s">
        <v>841</v>
      </c>
      <c r="J321" s="13" t="s">
        <v>1437</v>
      </c>
      <c r="K321" s="13" t="s">
        <v>1438</v>
      </c>
      <c r="L321" s="13" t="s">
        <v>464</v>
      </c>
    </row>
    <row r="322" spans="1:12" x14ac:dyDescent="0.3">
      <c r="A322" t="s">
        <v>22</v>
      </c>
      <c r="B322" t="s">
        <v>708</v>
      </c>
      <c r="C322" s="23" t="s">
        <v>465</v>
      </c>
      <c r="D322" t="s">
        <v>1106</v>
      </c>
      <c r="F322" t="s">
        <v>219</v>
      </c>
      <c r="G322" t="s">
        <v>466</v>
      </c>
      <c r="H322" t="s">
        <v>1307</v>
      </c>
      <c r="I322" s="13" t="s">
        <v>1064</v>
      </c>
      <c r="J322" s="13" t="s">
        <v>1437</v>
      </c>
      <c r="K322" s="13" t="s">
        <v>1438</v>
      </c>
      <c r="L322" s="13" t="s">
        <v>466</v>
      </c>
    </row>
    <row r="323" spans="1:12" x14ac:dyDescent="0.3">
      <c r="A323" t="s">
        <v>22</v>
      </c>
      <c r="B323" t="s">
        <v>709</v>
      </c>
      <c r="C323" s="23" t="s">
        <v>467</v>
      </c>
      <c r="D323" t="s">
        <v>1107</v>
      </c>
      <c r="F323" t="s">
        <v>219</v>
      </c>
      <c r="G323" t="s">
        <v>524</v>
      </c>
      <c r="H323" t="s">
        <v>1308</v>
      </c>
      <c r="I323" s="13" t="s">
        <v>1064</v>
      </c>
      <c r="J323" s="13" t="s">
        <v>1437</v>
      </c>
      <c r="K323" s="13" t="s">
        <v>1438</v>
      </c>
      <c r="L323" s="13" t="s">
        <v>392</v>
      </c>
    </row>
    <row r="324" spans="1:12" x14ac:dyDescent="0.3">
      <c r="A324" t="s">
        <v>22</v>
      </c>
      <c r="B324" t="s">
        <v>710</v>
      </c>
      <c r="C324" s="23" t="s">
        <v>207</v>
      </c>
      <c r="D324" t="s">
        <v>1108</v>
      </c>
      <c r="F324" t="s">
        <v>219</v>
      </c>
      <c r="G324" t="s">
        <v>468</v>
      </c>
      <c r="H324" t="s">
        <v>1309</v>
      </c>
      <c r="I324" s="13" t="s">
        <v>1064</v>
      </c>
      <c r="J324" s="13" t="s">
        <v>1437</v>
      </c>
      <c r="K324" s="13" t="s">
        <v>1438</v>
      </c>
      <c r="L324" s="13" t="s">
        <v>468</v>
      </c>
    </row>
    <row r="325" spans="1:12" x14ac:dyDescent="0.3">
      <c r="A325" t="s">
        <v>22</v>
      </c>
      <c r="B325" t="s">
        <v>711</v>
      </c>
      <c r="C325" s="23" t="s">
        <v>189</v>
      </c>
      <c r="D325" t="s">
        <v>1109</v>
      </c>
      <c r="F325" t="s">
        <v>219</v>
      </c>
      <c r="G325" t="s">
        <v>397</v>
      </c>
      <c r="H325" t="s">
        <v>1310</v>
      </c>
      <c r="I325" s="13" t="s">
        <v>842</v>
      </c>
      <c r="J325" s="13" t="s">
        <v>1437</v>
      </c>
      <c r="K325" s="13" t="s">
        <v>1438</v>
      </c>
      <c r="L325" s="13" t="s">
        <v>397</v>
      </c>
    </row>
    <row r="326" spans="1:12" x14ac:dyDescent="0.3">
      <c r="A326" t="s">
        <v>22</v>
      </c>
      <c r="B326" t="s">
        <v>712</v>
      </c>
      <c r="C326" s="23" t="s">
        <v>46</v>
      </c>
      <c r="D326" t="s">
        <v>1110</v>
      </c>
      <c r="F326" t="s">
        <v>219</v>
      </c>
      <c r="G326" t="s">
        <v>170</v>
      </c>
      <c r="H326" t="s">
        <v>1311</v>
      </c>
      <c r="I326" s="13" t="s">
        <v>843</v>
      </c>
      <c r="J326" s="13" t="s">
        <v>1437</v>
      </c>
      <c r="K326" s="13" t="s">
        <v>1438</v>
      </c>
      <c r="L326" s="13" t="s">
        <v>170</v>
      </c>
    </row>
    <row r="327" spans="1:12" x14ac:dyDescent="0.3">
      <c r="A327" t="s">
        <v>22</v>
      </c>
      <c r="B327" t="s">
        <v>953</v>
      </c>
      <c r="C327" s="23" t="s">
        <v>201</v>
      </c>
      <c r="D327" t="s">
        <v>1111</v>
      </c>
      <c r="F327" t="s">
        <v>219</v>
      </c>
      <c r="G327" t="s">
        <v>201</v>
      </c>
      <c r="H327" t="s">
        <v>923</v>
      </c>
      <c r="I327" s="13" t="s">
        <v>925</v>
      </c>
      <c r="J327" s="13" t="s">
        <v>1437</v>
      </c>
      <c r="K327" s="13" t="s">
        <v>1438</v>
      </c>
      <c r="L327" s="13" t="s">
        <v>201</v>
      </c>
    </row>
    <row r="328" spans="1:12" x14ac:dyDescent="0.3">
      <c r="A328" t="s">
        <v>22</v>
      </c>
      <c r="B328" t="s">
        <v>713</v>
      </c>
      <c r="C328" s="23" t="s">
        <v>79</v>
      </c>
      <c r="D328" t="s">
        <v>1112</v>
      </c>
      <c r="F328" t="s">
        <v>219</v>
      </c>
      <c r="G328" t="s">
        <v>171</v>
      </c>
      <c r="H328" t="s">
        <v>1312</v>
      </c>
      <c r="I328" s="13" t="s">
        <v>844</v>
      </c>
      <c r="J328" s="13" t="s">
        <v>1437</v>
      </c>
      <c r="K328" s="13" t="s">
        <v>1438</v>
      </c>
      <c r="L328" s="13" t="s">
        <v>171</v>
      </c>
    </row>
    <row r="329" spans="1:12" x14ac:dyDescent="0.3">
      <c r="A329" t="s">
        <v>22</v>
      </c>
      <c r="B329" t="s">
        <v>714</v>
      </c>
      <c r="C329" s="23" t="s">
        <v>74</v>
      </c>
      <c r="D329" t="s">
        <v>1113</v>
      </c>
      <c r="F329" t="s">
        <v>219</v>
      </c>
      <c r="G329" t="s">
        <v>184</v>
      </c>
      <c r="H329" t="s">
        <v>1313</v>
      </c>
      <c r="I329" s="13" t="s">
        <v>845</v>
      </c>
      <c r="J329" s="13" t="s">
        <v>1437</v>
      </c>
      <c r="K329" s="13" t="s">
        <v>1438</v>
      </c>
      <c r="L329" s="13" t="s">
        <v>1473</v>
      </c>
    </row>
    <row r="330" spans="1:12" x14ac:dyDescent="0.3">
      <c r="A330" t="s">
        <v>22</v>
      </c>
      <c r="B330" t="s">
        <v>954</v>
      </c>
      <c r="C330" s="23" t="s">
        <v>43</v>
      </c>
      <c r="D330" t="s">
        <v>1114</v>
      </c>
      <c r="F330" t="s">
        <v>219</v>
      </c>
      <c r="G330" t="s">
        <v>166</v>
      </c>
      <c r="H330" t="s">
        <v>1314</v>
      </c>
      <c r="I330" s="13" t="s">
        <v>927</v>
      </c>
      <c r="J330" s="13" t="s">
        <v>1437</v>
      </c>
      <c r="K330" s="13" t="s">
        <v>1438</v>
      </c>
      <c r="L330" s="13" t="s">
        <v>166</v>
      </c>
    </row>
    <row r="331" spans="1:12" x14ac:dyDescent="0.3">
      <c r="A331" t="s">
        <v>22</v>
      </c>
      <c r="B331" t="s">
        <v>715</v>
      </c>
      <c r="C331" s="23" t="s">
        <v>525</v>
      </c>
      <c r="D331" t="s">
        <v>1220</v>
      </c>
      <c r="F331" t="s">
        <v>219</v>
      </c>
      <c r="G331" t="s">
        <v>526</v>
      </c>
      <c r="H331" t="s">
        <v>1315</v>
      </c>
      <c r="I331" s="13" t="s">
        <v>846</v>
      </c>
      <c r="J331" s="13" t="s">
        <v>1437</v>
      </c>
      <c r="K331" s="13" t="s">
        <v>1438</v>
      </c>
      <c r="L331" s="13" t="s">
        <v>425</v>
      </c>
    </row>
    <row r="332" spans="1:12" x14ac:dyDescent="0.3">
      <c r="A332" t="s">
        <v>22</v>
      </c>
      <c r="B332" t="s">
        <v>716</v>
      </c>
      <c r="C332" s="23" t="s">
        <v>65</v>
      </c>
      <c r="D332" t="s">
        <v>1116</v>
      </c>
      <c r="F332" t="s">
        <v>219</v>
      </c>
      <c r="G332" t="s">
        <v>426</v>
      </c>
      <c r="H332" t="s">
        <v>1316</v>
      </c>
      <c r="I332" s="13" t="s">
        <v>847</v>
      </c>
      <c r="J332" s="13" t="s">
        <v>1437</v>
      </c>
      <c r="K332" s="13" t="s">
        <v>1438</v>
      </c>
      <c r="L332" s="13" t="s">
        <v>426</v>
      </c>
    </row>
    <row r="333" spans="1:12" x14ac:dyDescent="0.3">
      <c r="A333" t="s">
        <v>22</v>
      </c>
      <c r="B333" t="s">
        <v>717</v>
      </c>
      <c r="C333" s="23" t="s">
        <v>95</v>
      </c>
      <c r="D333" t="s">
        <v>1117</v>
      </c>
      <c r="F333" t="s">
        <v>219</v>
      </c>
      <c r="G333" t="s">
        <v>172</v>
      </c>
      <c r="H333" t="s">
        <v>1317</v>
      </c>
      <c r="I333" s="13" t="s">
        <v>848</v>
      </c>
      <c r="J333" s="13" t="s">
        <v>1437</v>
      </c>
      <c r="K333" s="13" t="s">
        <v>1438</v>
      </c>
      <c r="L333" s="13" t="s">
        <v>172</v>
      </c>
    </row>
    <row r="334" spans="1:12" x14ac:dyDescent="0.3">
      <c r="A334" t="s">
        <v>22</v>
      </c>
      <c r="B334" t="s">
        <v>718</v>
      </c>
      <c r="C334" s="23" t="s">
        <v>527</v>
      </c>
      <c r="D334" t="s">
        <v>1420</v>
      </c>
      <c r="F334" t="s">
        <v>219</v>
      </c>
      <c r="G334" t="s">
        <v>1526</v>
      </c>
      <c r="H334" t="s">
        <v>1318</v>
      </c>
      <c r="I334" s="13" t="s">
        <v>849</v>
      </c>
      <c r="J334" s="13" t="s">
        <v>1437</v>
      </c>
      <c r="K334" s="13" t="s">
        <v>1438</v>
      </c>
      <c r="L334" s="13" t="s">
        <v>1526</v>
      </c>
    </row>
    <row r="335" spans="1:12" x14ac:dyDescent="0.3">
      <c r="A335" t="s">
        <v>22</v>
      </c>
      <c r="B335" t="s">
        <v>719</v>
      </c>
      <c r="C335" s="23" t="s">
        <v>142</v>
      </c>
      <c r="D335" t="s">
        <v>1118</v>
      </c>
      <c r="F335" t="s">
        <v>219</v>
      </c>
      <c r="G335" t="s">
        <v>403</v>
      </c>
      <c r="H335" t="s">
        <v>1319</v>
      </c>
      <c r="I335" s="13" t="s">
        <v>928</v>
      </c>
      <c r="J335" s="13" t="s">
        <v>1437</v>
      </c>
      <c r="K335" s="13" t="s">
        <v>1438</v>
      </c>
      <c r="L335" s="13" t="s">
        <v>403</v>
      </c>
    </row>
    <row r="336" spans="1:12" x14ac:dyDescent="0.3">
      <c r="A336" t="s">
        <v>22</v>
      </c>
      <c r="B336" t="s">
        <v>720</v>
      </c>
      <c r="C336" s="23" t="s">
        <v>111</v>
      </c>
      <c r="D336" t="s">
        <v>1119</v>
      </c>
      <c r="F336" t="s">
        <v>219</v>
      </c>
      <c r="G336" t="s">
        <v>176</v>
      </c>
      <c r="H336" t="s">
        <v>1320</v>
      </c>
      <c r="I336" s="13" t="s">
        <v>850</v>
      </c>
      <c r="J336" s="13" t="s">
        <v>1437</v>
      </c>
      <c r="K336" s="13" t="s">
        <v>1438</v>
      </c>
      <c r="L336" s="13" t="s">
        <v>176</v>
      </c>
    </row>
    <row r="337" spans="1:12" x14ac:dyDescent="0.3">
      <c r="A337" t="s">
        <v>22</v>
      </c>
      <c r="B337" t="s">
        <v>721</v>
      </c>
      <c r="C337" s="23" t="s">
        <v>72</v>
      </c>
      <c r="D337" t="s">
        <v>1120</v>
      </c>
      <c r="F337" t="s">
        <v>219</v>
      </c>
      <c r="G337" t="s">
        <v>156</v>
      </c>
      <c r="H337" t="s">
        <v>1321</v>
      </c>
      <c r="I337" s="13" t="s">
        <v>851</v>
      </c>
      <c r="J337" s="13" t="s">
        <v>1437</v>
      </c>
      <c r="K337" s="13" t="s">
        <v>1438</v>
      </c>
      <c r="L337" s="13" t="s">
        <v>156</v>
      </c>
    </row>
    <row r="338" spans="1:12" x14ac:dyDescent="0.3">
      <c r="A338" t="s">
        <v>22</v>
      </c>
      <c r="B338" t="s">
        <v>722</v>
      </c>
      <c r="C338" s="23" t="s">
        <v>108</v>
      </c>
      <c r="D338" t="s">
        <v>1121</v>
      </c>
      <c r="F338" t="s">
        <v>219</v>
      </c>
      <c r="G338" t="s">
        <v>157</v>
      </c>
      <c r="H338" t="s">
        <v>1322</v>
      </c>
      <c r="I338" s="13" t="s">
        <v>852</v>
      </c>
      <c r="J338" s="13" t="s">
        <v>1437</v>
      </c>
      <c r="K338" s="13" t="s">
        <v>1438</v>
      </c>
      <c r="L338" s="13" t="s">
        <v>157</v>
      </c>
    </row>
    <row r="339" spans="1:12" x14ac:dyDescent="0.3">
      <c r="A339" t="s">
        <v>22</v>
      </c>
      <c r="B339" t="s">
        <v>723</v>
      </c>
      <c r="C339" s="23" t="s">
        <v>134</v>
      </c>
      <c r="D339" t="s">
        <v>1122</v>
      </c>
      <c r="F339" t="s">
        <v>219</v>
      </c>
      <c r="G339" t="s">
        <v>177</v>
      </c>
      <c r="H339" t="s">
        <v>1323</v>
      </c>
      <c r="I339" s="13" t="s">
        <v>853</v>
      </c>
      <c r="J339" s="13" t="s">
        <v>1437</v>
      </c>
      <c r="K339" s="13" t="s">
        <v>1438</v>
      </c>
      <c r="L339" s="13" t="s">
        <v>177</v>
      </c>
    </row>
    <row r="340" spans="1:12" x14ac:dyDescent="0.3">
      <c r="A340" t="s">
        <v>22</v>
      </c>
      <c r="B340" t="s">
        <v>724</v>
      </c>
      <c r="C340" s="23" t="s">
        <v>57</v>
      </c>
      <c r="D340" t="s">
        <v>1123</v>
      </c>
      <c r="F340" t="s">
        <v>219</v>
      </c>
      <c r="G340" t="s">
        <v>427</v>
      </c>
      <c r="H340" t="s">
        <v>1324</v>
      </c>
      <c r="I340" s="13" t="s">
        <v>854</v>
      </c>
      <c r="J340" s="13" t="s">
        <v>1437</v>
      </c>
      <c r="K340" s="13" t="s">
        <v>1438</v>
      </c>
      <c r="L340" s="13" t="s">
        <v>427</v>
      </c>
    </row>
    <row r="341" spans="1:12" x14ac:dyDescent="0.3">
      <c r="A341" t="s">
        <v>22</v>
      </c>
      <c r="B341" t="s">
        <v>725</v>
      </c>
      <c r="C341" s="23" t="s">
        <v>149</v>
      </c>
      <c r="D341" t="s">
        <v>1124</v>
      </c>
      <c r="F341" t="s">
        <v>219</v>
      </c>
      <c r="G341" t="s">
        <v>405</v>
      </c>
      <c r="H341" t="s">
        <v>1325</v>
      </c>
      <c r="I341" s="13" t="s">
        <v>855</v>
      </c>
      <c r="J341" s="13" t="s">
        <v>1437</v>
      </c>
      <c r="K341" s="13" t="s">
        <v>1438</v>
      </c>
      <c r="L341" s="13" t="s">
        <v>405</v>
      </c>
    </row>
    <row r="342" spans="1:12" x14ac:dyDescent="0.3">
      <c r="A342" t="s">
        <v>22</v>
      </c>
      <c r="B342" t="s">
        <v>1434</v>
      </c>
      <c r="C342" s="23" t="s">
        <v>1422</v>
      </c>
      <c r="D342" t="s">
        <v>1423</v>
      </c>
      <c r="F342" t="s">
        <v>219</v>
      </c>
      <c r="G342" t="s">
        <v>1424</v>
      </c>
      <c r="H342" t="s">
        <v>1425</v>
      </c>
      <c r="I342" s="13" t="s">
        <v>1064</v>
      </c>
      <c r="J342" s="13" t="s">
        <v>1437</v>
      </c>
      <c r="K342" s="13" t="s">
        <v>1438</v>
      </c>
      <c r="L342" s="13" t="s">
        <v>1424</v>
      </c>
    </row>
    <row r="343" spans="1:12" x14ac:dyDescent="0.3">
      <c r="A343" t="s">
        <v>22</v>
      </c>
      <c r="B343" t="s">
        <v>955</v>
      </c>
      <c r="C343" s="23" t="s">
        <v>194</v>
      </c>
      <c r="D343" t="s">
        <v>1125</v>
      </c>
      <c r="F343" t="s">
        <v>219</v>
      </c>
      <c r="G343" t="s">
        <v>469</v>
      </c>
      <c r="H343" t="s">
        <v>929</v>
      </c>
      <c r="I343" s="13" t="s">
        <v>931</v>
      </c>
      <c r="J343" s="13" t="s">
        <v>1438</v>
      </c>
      <c r="K343" s="13" t="s">
        <v>1437</v>
      </c>
      <c r="L343" s="13" t="s">
        <v>469</v>
      </c>
    </row>
    <row r="344" spans="1:12" x14ac:dyDescent="0.3">
      <c r="A344" t="s">
        <v>22</v>
      </c>
      <c r="B344" t="s">
        <v>726</v>
      </c>
      <c r="C344" s="23" t="s">
        <v>140</v>
      </c>
      <c r="D344" t="s">
        <v>1126</v>
      </c>
      <c r="F344" t="s">
        <v>219</v>
      </c>
      <c r="G344" t="s">
        <v>379</v>
      </c>
      <c r="H344" t="s">
        <v>1326</v>
      </c>
      <c r="I344" s="13" t="s">
        <v>856</v>
      </c>
      <c r="J344" s="13" t="s">
        <v>1437</v>
      </c>
      <c r="K344" s="13" t="s">
        <v>1438</v>
      </c>
      <c r="L344" s="13" t="s">
        <v>379</v>
      </c>
    </row>
    <row r="345" spans="1:12" x14ac:dyDescent="0.3">
      <c r="A345" t="s">
        <v>22</v>
      </c>
      <c r="B345" t="s">
        <v>727</v>
      </c>
      <c r="C345" s="23" t="s">
        <v>470</v>
      </c>
      <c r="D345" t="s">
        <v>1127</v>
      </c>
      <c r="F345" t="s">
        <v>219</v>
      </c>
      <c r="G345" t="s">
        <v>158</v>
      </c>
      <c r="H345" t="s">
        <v>1327</v>
      </c>
      <c r="I345" s="13" t="s">
        <v>857</v>
      </c>
      <c r="J345" s="13" t="s">
        <v>1437</v>
      </c>
      <c r="K345" s="13" t="s">
        <v>1438</v>
      </c>
      <c r="L345" s="13" t="s">
        <v>158</v>
      </c>
    </row>
    <row r="346" spans="1:12" x14ac:dyDescent="0.3">
      <c r="A346" t="s">
        <v>22</v>
      </c>
      <c r="B346" t="s">
        <v>728</v>
      </c>
      <c r="C346" s="23" t="s">
        <v>198</v>
      </c>
      <c r="D346" t="s">
        <v>1128</v>
      </c>
      <c r="F346" t="s">
        <v>219</v>
      </c>
      <c r="G346" t="s">
        <v>378</v>
      </c>
      <c r="H346" t="s">
        <v>371</v>
      </c>
      <c r="I346" s="13" t="s">
        <v>858</v>
      </c>
      <c r="J346" s="13" t="s">
        <v>1437</v>
      </c>
      <c r="K346" s="13" t="s">
        <v>1438</v>
      </c>
      <c r="L346" s="13" t="s">
        <v>378</v>
      </c>
    </row>
    <row r="347" spans="1:12" x14ac:dyDescent="0.3">
      <c r="A347" t="s">
        <v>22</v>
      </c>
      <c r="B347" t="s">
        <v>729</v>
      </c>
      <c r="C347" s="23" t="s">
        <v>192</v>
      </c>
      <c r="D347" t="s">
        <v>1129</v>
      </c>
      <c r="F347" t="s">
        <v>219</v>
      </c>
      <c r="G347" t="s">
        <v>471</v>
      </c>
      <c r="H347" t="s">
        <v>1328</v>
      </c>
      <c r="I347" s="13" t="s">
        <v>859</v>
      </c>
      <c r="J347" s="13" t="s">
        <v>1437</v>
      </c>
      <c r="K347" s="13" t="s">
        <v>1438</v>
      </c>
      <c r="L347" s="13" t="s">
        <v>471</v>
      </c>
    </row>
    <row r="348" spans="1:12" x14ac:dyDescent="0.3">
      <c r="A348" t="s">
        <v>22</v>
      </c>
      <c r="B348" t="s">
        <v>730</v>
      </c>
      <c r="C348" s="23" t="s">
        <v>1005</v>
      </c>
      <c r="D348" t="s">
        <v>1130</v>
      </c>
      <c r="F348" t="s">
        <v>219</v>
      </c>
      <c r="G348" t="s">
        <v>215</v>
      </c>
      <c r="H348" t="s">
        <v>1329</v>
      </c>
      <c r="I348" s="13" t="s">
        <v>1064</v>
      </c>
      <c r="J348" s="13" t="s">
        <v>1437</v>
      </c>
      <c r="K348" s="13" t="s">
        <v>1438</v>
      </c>
      <c r="L348" s="13" t="s">
        <v>215</v>
      </c>
    </row>
    <row r="349" spans="1:12" x14ac:dyDescent="0.3">
      <c r="A349" t="s">
        <v>22</v>
      </c>
      <c r="B349" t="s">
        <v>1038</v>
      </c>
      <c r="C349" s="23" t="s">
        <v>1037</v>
      </c>
      <c r="D349" t="s">
        <v>1221</v>
      </c>
      <c r="F349" t="s">
        <v>219</v>
      </c>
      <c r="G349" t="s">
        <v>528</v>
      </c>
      <c r="H349" t="s">
        <v>1330</v>
      </c>
      <c r="I349" s="13" t="s">
        <v>1008</v>
      </c>
      <c r="J349" s="13" t="s">
        <v>1437</v>
      </c>
      <c r="K349" s="13" t="s">
        <v>1438</v>
      </c>
      <c r="L349" s="13" t="s">
        <v>410</v>
      </c>
    </row>
    <row r="350" spans="1:12" x14ac:dyDescent="0.3">
      <c r="A350" t="s">
        <v>22</v>
      </c>
      <c r="B350" t="s">
        <v>731</v>
      </c>
      <c r="C350" s="23" t="s">
        <v>47</v>
      </c>
      <c r="D350" t="s">
        <v>1132</v>
      </c>
      <c r="F350" t="s">
        <v>219</v>
      </c>
      <c r="G350" t="s">
        <v>179</v>
      </c>
      <c r="H350" t="s">
        <v>1331</v>
      </c>
      <c r="I350" s="13" t="s">
        <v>860</v>
      </c>
      <c r="J350" s="13" t="s">
        <v>1438</v>
      </c>
      <c r="K350" s="13" t="s">
        <v>1437</v>
      </c>
      <c r="L350" s="13" t="s">
        <v>179</v>
      </c>
    </row>
    <row r="351" spans="1:12" x14ac:dyDescent="0.3">
      <c r="A351" t="s">
        <v>22</v>
      </c>
      <c r="B351" t="s">
        <v>732</v>
      </c>
      <c r="C351" s="23" t="s">
        <v>144</v>
      </c>
      <c r="D351" t="s">
        <v>1133</v>
      </c>
      <c r="F351" t="s">
        <v>219</v>
      </c>
      <c r="G351" t="s">
        <v>423</v>
      </c>
      <c r="H351" t="s">
        <v>1332</v>
      </c>
      <c r="I351" s="13" t="s">
        <v>861</v>
      </c>
      <c r="J351" s="13" t="s">
        <v>1437</v>
      </c>
      <c r="K351" s="13" t="s">
        <v>1438</v>
      </c>
      <c r="L351" s="13" t="s">
        <v>423</v>
      </c>
    </row>
    <row r="352" spans="1:12" x14ac:dyDescent="0.3">
      <c r="A352" t="s">
        <v>22</v>
      </c>
      <c r="B352" t="s">
        <v>733</v>
      </c>
      <c r="C352" s="23" t="s">
        <v>472</v>
      </c>
      <c r="D352" t="s">
        <v>1134</v>
      </c>
      <c r="F352" t="s">
        <v>219</v>
      </c>
      <c r="G352" t="s">
        <v>447</v>
      </c>
      <c r="H352" t="s">
        <v>1333</v>
      </c>
      <c r="I352" s="13" t="s">
        <v>862</v>
      </c>
      <c r="J352" s="13" t="s">
        <v>1437</v>
      </c>
      <c r="K352" s="13" t="s">
        <v>1438</v>
      </c>
      <c r="L352" s="13" t="s">
        <v>1474</v>
      </c>
    </row>
    <row r="353" spans="1:12" x14ac:dyDescent="0.3">
      <c r="A353" t="s">
        <v>22</v>
      </c>
      <c r="B353" t="s">
        <v>734</v>
      </c>
      <c r="C353" s="23" t="s">
        <v>103</v>
      </c>
      <c r="D353" t="s">
        <v>1135</v>
      </c>
      <c r="F353" t="s">
        <v>219</v>
      </c>
      <c r="G353" t="s">
        <v>164</v>
      </c>
      <c r="H353" t="s">
        <v>1334</v>
      </c>
      <c r="I353" s="13" t="s">
        <v>863</v>
      </c>
      <c r="J353" s="13" t="s">
        <v>1437</v>
      </c>
      <c r="K353" s="13" t="s">
        <v>1438</v>
      </c>
      <c r="L353" s="13" t="s">
        <v>164</v>
      </c>
    </row>
    <row r="354" spans="1:12" x14ac:dyDescent="0.3">
      <c r="A354" t="s">
        <v>22</v>
      </c>
      <c r="B354" t="s">
        <v>735</v>
      </c>
      <c r="C354" s="23" t="s">
        <v>51</v>
      </c>
      <c r="D354" t="s">
        <v>1136</v>
      </c>
      <c r="F354" t="s">
        <v>219</v>
      </c>
      <c r="G354" t="s">
        <v>414</v>
      </c>
      <c r="H354" t="s">
        <v>1335</v>
      </c>
      <c r="I354" s="13" t="s">
        <v>864</v>
      </c>
      <c r="J354" s="13" t="s">
        <v>1437</v>
      </c>
      <c r="K354" s="13" t="s">
        <v>1438</v>
      </c>
      <c r="L354" s="13" t="s">
        <v>414</v>
      </c>
    </row>
    <row r="355" spans="1:12" x14ac:dyDescent="0.3">
      <c r="A355" t="s">
        <v>22</v>
      </c>
      <c r="B355" t="s">
        <v>1039</v>
      </c>
      <c r="C355" s="23" t="s">
        <v>1009</v>
      </c>
      <c r="D355" t="s">
        <v>1137</v>
      </c>
      <c r="F355" t="s">
        <v>219</v>
      </c>
      <c r="G355" t="s">
        <v>1010</v>
      </c>
      <c r="H355" t="s">
        <v>1336</v>
      </c>
      <c r="I355" s="13" t="s">
        <v>1012</v>
      </c>
      <c r="J355" s="13" t="s">
        <v>1437</v>
      </c>
      <c r="K355" s="13" t="s">
        <v>1438</v>
      </c>
      <c r="L355" s="13" t="s">
        <v>1010</v>
      </c>
    </row>
    <row r="356" spans="1:12" x14ac:dyDescent="0.3">
      <c r="A356" t="s">
        <v>22</v>
      </c>
      <c r="B356" t="s">
        <v>736</v>
      </c>
      <c r="C356" s="23" t="s">
        <v>1521</v>
      </c>
      <c r="D356" t="s">
        <v>1138</v>
      </c>
      <c r="F356" t="s">
        <v>219</v>
      </c>
      <c r="G356" t="s">
        <v>187</v>
      </c>
      <c r="H356" t="s">
        <v>1337</v>
      </c>
      <c r="I356" s="13" t="s">
        <v>865</v>
      </c>
      <c r="J356" s="13" t="s">
        <v>1437</v>
      </c>
      <c r="K356" s="13" t="s">
        <v>1438</v>
      </c>
      <c r="L356" s="13" t="s">
        <v>187</v>
      </c>
    </row>
    <row r="357" spans="1:12" x14ac:dyDescent="0.3">
      <c r="A357" t="s">
        <v>22</v>
      </c>
      <c r="B357" t="s">
        <v>956</v>
      </c>
      <c r="C357" s="23" t="s">
        <v>193</v>
      </c>
      <c r="D357" t="s">
        <v>1139</v>
      </c>
      <c r="F357" t="s">
        <v>219</v>
      </c>
      <c r="G357" t="s">
        <v>473</v>
      </c>
      <c r="H357" t="s">
        <v>1338</v>
      </c>
      <c r="I357" s="13" t="s">
        <v>933</v>
      </c>
      <c r="J357" s="13" t="s">
        <v>1437</v>
      </c>
      <c r="K357" s="13" t="s">
        <v>1438</v>
      </c>
      <c r="L357" s="13" t="s">
        <v>473</v>
      </c>
    </row>
    <row r="358" spans="1:12" x14ac:dyDescent="0.3">
      <c r="A358" t="s">
        <v>22</v>
      </c>
      <c r="B358" t="s">
        <v>737</v>
      </c>
      <c r="C358" s="23" t="s">
        <v>77</v>
      </c>
      <c r="D358" t="s">
        <v>1222</v>
      </c>
      <c r="F358" t="s">
        <v>219</v>
      </c>
      <c r="G358" t="s">
        <v>169</v>
      </c>
      <c r="H358" t="s">
        <v>1339</v>
      </c>
      <c r="I358" s="13" t="s">
        <v>866</v>
      </c>
      <c r="J358" s="13" t="s">
        <v>1437</v>
      </c>
      <c r="K358" s="13" t="s">
        <v>1438</v>
      </c>
      <c r="L358" s="13" t="s">
        <v>169</v>
      </c>
    </row>
    <row r="359" spans="1:12" x14ac:dyDescent="0.3">
      <c r="A359" t="s">
        <v>22</v>
      </c>
      <c r="B359" t="s">
        <v>738</v>
      </c>
      <c r="C359" s="23" t="s">
        <v>42</v>
      </c>
      <c r="D359" t="s">
        <v>1141</v>
      </c>
      <c r="F359" t="s">
        <v>219</v>
      </c>
      <c r="G359" t="s">
        <v>160</v>
      </c>
      <c r="H359" t="s">
        <v>1340</v>
      </c>
      <c r="I359" s="13" t="s">
        <v>867</v>
      </c>
      <c r="J359" s="13" t="s">
        <v>1437</v>
      </c>
      <c r="K359" s="13" t="s">
        <v>1438</v>
      </c>
      <c r="L359" s="13" t="s">
        <v>160</v>
      </c>
    </row>
    <row r="360" spans="1:12" x14ac:dyDescent="0.3">
      <c r="A360" t="s">
        <v>22</v>
      </c>
      <c r="B360" t="s">
        <v>739</v>
      </c>
      <c r="C360" s="23" t="s">
        <v>474</v>
      </c>
      <c r="D360" t="s">
        <v>1142</v>
      </c>
      <c r="F360" t="s">
        <v>219</v>
      </c>
      <c r="G360" t="s">
        <v>475</v>
      </c>
      <c r="H360" t="s">
        <v>1341</v>
      </c>
      <c r="I360" s="13" t="s">
        <v>868</v>
      </c>
      <c r="J360" s="13" t="s">
        <v>1437</v>
      </c>
      <c r="K360" s="13" t="s">
        <v>1438</v>
      </c>
      <c r="L360" s="13" t="s">
        <v>475</v>
      </c>
    </row>
    <row r="361" spans="1:12" x14ac:dyDescent="0.3">
      <c r="A361" t="s">
        <v>22</v>
      </c>
      <c r="B361" t="s">
        <v>740</v>
      </c>
      <c r="C361" s="23" t="s">
        <v>81</v>
      </c>
      <c r="D361" t="s">
        <v>1143</v>
      </c>
      <c r="F361" t="s">
        <v>219</v>
      </c>
      <c r="G361" t="s">
        <v>402</v>
      </c>
      <c r="H361" t="s">
        <v>1342</v>
      </c>
      <c r="I361" s="13" t="s">
        <v>869</v>
      </c>
      <c r="J361" s="13" t="s">
        <v>1437</v>
      </c>
      <c r="K361" s="13" t="s">
        <v>1438</v>
      </c>
      <c r="L361" s="13" t="s">
        <v>402</v>
      </c>
    </row>
    <row r="362" spans="1:12" x14ac:dyDescent="0.3">
      <c r="A362" t="s">
        <v>22</v>
      </c>
      <c r="B362" t="s">
        <v>741</v>
      </c>
      <c r="C362" s="23" t="s">
        <v>529</v>
      </c>
      <c r="D362" t="s">
        <v>1144</v>
      </c>
      <c r="F362" t="s">
        <v>219</v>
      </c>
      <c r="G362" t="s">
        <v>530</v>
      </c>
      <c r="H362" t="s">
        <v>1343</v>
      </c>
      <c r="I362" s="13" t="s">
        <v>870</v>
      </c>
      <c r="J362" s="13" t="s">
        <v>1437</v>
      </c>
      <c r="K362" s="13" t="s">
        <v>1438</v>
      </c>
      <c r="L362" s="13" t="s">
        <v>400</v>
      </c>
    </row>
    <row r="363" spans="1:12" x14ac:dyDescent="0.3">
      <c r="A363" t="s">
        <v>22</v>
      </c>
      <c r="B363" t="s">
        <v>742</v>
      </c>
      <c r="C363" s="23" t="s">
        <v>66</v>
      </c>
      <c r="D363" t="s">
        <v>1145</v>
      </c>
      <c r="F363" t="s">
        <v>219</v>
      </c>
      <c r="G363" t="s">
        <v>428</v>
      </c>
      <c r="H363" t="s">
        <v>1344</v>
      </c>
      <c r="I363" s="13" t="s">
        <v>871</v>
      </c>
      <c r="J363" s="13" t="s">
        <v>1437</v>
      </c>
      <c r="K363" s="13" t="s">
        <v>1438</v>
      </c>
      <c r="L363" s="13" t="s">
        <v>428</v>
      </c>
    </row>
    <row r="364" spans="1:12" x14ac:dyDescent="0.3">
      <c r="A364" t="s">
        <v>22</v>
      </c>
      <c r="B364" t="s">
        <v>743</v>
      </c>
      <c r="C364" s="23" t="s">
        <v>109</v>
      </c>
      <c r="D364" t="s">
        <v>1146</v>
      </c>
      <c r="F364" t="s">
        <v>219</v>
      </c>
      <c r="G364" t="s">
        <v>401</v>
      </c>
      <c r="H364" t="s">
        <v>1345</v>
      </c>
      <c r="I364" s="13" t="s">
        <v>872</v>
      </c>
      <c r="J364" s="13" t="s">
        <v>1437</v>
      </c>
      <c r="K364" s="13" t="s">
        <v>1438</v>
      </c>
      <c r="L364" s="13" t="s">
        <v>401</v>
      </c>
    </row>
    <row r="365" spans="1:12" x14ac:dyDescent="0.3">
      <c r="A365" t="s">
        <v>22</v>
      </c>
      <c r="B365" t="s">
        <v>744</v>
      </c>
      <c r="C365" s="23" t="s">
        <v>1493</v>
      </c>
      <c r="D365" t="s">
        <v>1494</v>
      </c>
      <c r="F365" t="s">
        <v>219</v>
      </c>
      <c r="G365" t="s">
        <v>1475</v>
      </c>
      <c r="H365" t="s">
        <v>1346</v>
      </c>
      <c r="I365" s="13" t="s">
        <v>873</v>
      </c>
      <c r="J365" s="13" t="s">
        <v>1437</v>
      </c>
      <c r="K365" s="13" t="s">
        <v>1438</v>
      </c>
      <c r="L365" s="13" t="s">
        <v>1475</v>
      </c>
    </row>
    <row r="366" spans="1:12" x14ac:dyDescent="0.3">
      <c r="A366" t="s">
        <v>22</v>
      </c>
      <c r="B366" t="s">
        <v>745</v>
      </c>
      <c r="C366" s="23" t="s">
        <v>75</v>
      </c>
      <c r="D366" t="s">
        <v>1147</v>
      </c>
      <c r="F366" t="s">
        <v>219</v>
      </c>
      <c r="G366" t="s">
        <v>385</v>
      </c>
      <c r="H366" t="s">
        <v>1347</v>
      </c>
      <c r="I366" s="13" t="s">
        <v>874</v>
      </c>
      <c r="J366" s="13" t="s">
        <v>1437</v>
      </c>
      <c r="K366" s="13" t="s">
        <v>1438</v>
      </c>
      <c r="L366" s="13" t="s">
        <v>385</v>
      </c>
    </row>
    <row r="367" spans="1:12" x14ac:dyDescent="0.3">
      <c r="A367" t="s">
        <v>22</v>
      </c>
      <c r="B367" t="s">
        <v>957</v>
      </c>
      <c r="C367" s="23" t="s">
        <v>532</v>
      </c>
      <c r="D367" t="s">
        <v>1148</v>
      </c>
      <c r="F367" t="s">
        <v>219</v>
      </c>
      <c r="G367" t="s">
        <v>533</v>
      </c>
      <c r="H367" t="s">
        <v>1348</v>
      </c>
      <c r="I367" s="13" t="s">
        <v>934</v>
      </c>
      <c r="J367" s="13" t="s">
        <v>1437</v>
      </c>
      <c r="K367" s="13" t="s">
        <v>1438</v>
      </c>
      <c r="L367" s="13" t="s">
        <v>420</v>
      </c>
    </row>
    <row r="368" spans="1:12" x14ac:dyDescent="0.3">
      <c r="A368" t="s">
        <v>22</v>
      </c>
      <c r="B368" t="s">
        <v>746</v>
      </c>
      <c r="C368" s="23" t="s">
        <v>478</v>
      </c>
      <c r="D368" t="s">
        <v>1149</v>
      </c>
      <c r="F368" t="s">
        <v>219</v>
      </c>
      <c r="G368" t="s">
        <v>479</v>
      </c>
      <c r="H368" t="s">
        <v>1349</v>
      </c>
      <c r="I368" s="13" t="s">
        <v>875</v>
      </c>
      <c r="J368" s="13" t="s">
        <v>1437</v>
      </c>
      <c r="K368" s="13" t="s">
        <v>1438</v>
      </c>
      <c r="L368" s="13" t="s">
        <v>479</v>
      </c>
    </row>
    <row r="369" spans="1:12" x14ac:dyDescent="0.3">
      <c r="A369" t="s">
        <v>22</v>
      </c>
      <c r="B369" t="s">
        <v>747</v>
      </c>
      <c r="C369" s="23" t="s">
        <v>80</v>
      </c>
      <c r="D369" t="s">
        <v>1150</v>
      </c>
      <c r="F369" t="s">
        <v>219</v>
      </c>
      <c r="G369" t="s">
        <v>1426</v>
      </c>
      <c r="H369" t="s">
        <v>1350</v>
      </c>
      <c r="I369" s="13" t="s">
        <v>876</v>
      </c>
      <c r="J369" s="13" t="s">
        <v>1437</v>
      </c>
      <c r="K369" s="13" t="s">
        <v>1438</v>
      </c>
      <c r="L369" s="13" t="s">
        <v>1426</v>
      </c>
    </row>
    <row r="370" spans="1:12" x14ac:dyDescent="0.3">
      <c r="A370" t="s">
        <v>22</v>
      </c>
      <c r="B370" t="s">
        <v>748</v>
      </c>
      <c r="C370" s="23" t="s">
        <v>1014</v>
      </c>
      <c r="D370" t="s">
        <v>1151</v>
      </c>
      <c r="F370" t="s">
        <v>219</v>
      </c>
      <c r="G370" t="s">
        <v>421</v>
      </c>
      <c r="H370" t="s">
        <v>1351</v>
      </c>
      <c r="I370" s="13" t="s">
        <v>877</v>
      </c>
      <c r="J370" s="13" t="s">
        <v>1437</v>
      </c>
      <c r="K370" s="13" t="s">
        <v>1438</v>
      </c>
      <c r="L370" s="13" t="s">
        <v>1476</v>
      </c>
    </row>
    <row r="371" spans="1:12" x14ac:dyDescent="0.3">
      <c r="A371" t="s">
        <v>22</v>
      </c>
      <c r="B371" t="s">
        <v>749</v>
      </c>
      <c r="C371" s="23" t="s">
        <v>139</v>
      </c>
      <c r="D371" t="s">
        <v>1152</v>
      </c>
      <c r="F371" t="s">
        <v>219</v>
      </c>
      <c r="G371" t="s">
        <v>534</v>
      </c>
      <c r="H371" t="s">
        <v>1352</v>
      </c>
      <c r="I371" s="13" t="s">
        <v>878</v>
      </c>
      <c r="J371" s="13" t="s">
        <v>1437</v>
      </c>
      <c r="K371" s="13" t="s">
        <v>1438</v>
      </c>
      <c r="L371" s="13" t="s">
        <v>409</v>
      </c>
    </row>
    <row r="372" spans="1:12" x14ac:dyDescent="0.3">
      <c r="A372" t="s">
        <v>22</v>
      </c>
      <c r="B372" t="s">
        <v>750</v>
      </c>
      <c r="C372" s="23" t="s">
        <v>535</v>
      </c>
      <c r="D372" t="s">
        <v>1153</v>
      </c>
      <c r="F372" t="s">
        <v>219</v>
      </c>
      <c r="G372" t="s">
        <v>536</v>
      </c>
      <c r="H372" t="s">
        <v>1353</v>
      </c>
      <c r="I372" s="13" t="s">
        <v>879</v>
      </c>
      <c r="J372" s="13" t="s">
        <v>1437</v>
      </c>
      <c r="K372" s="13" t="s">
        <v>1438</v>
      </c>
      <c r="L372" s="13" t="s">
        <v>408</v>
      </c>
    </row>
    <row r="373" spans="1:12" x14ac:dyDescent="0.3">
      <c r="A373" t="s">
        <v>22</v>
      </c>
      <c r="B373" t="s">
        <v>751</v>
      </c>
      <c r="C373" s="23" t="s">
        <v>480</v>
      </c>
      <c r="D373" t="s">
        <v>1154</v>
      </c>
      <c r="F373" t="s">
        <v>219</v>
      </c>
      <c r="G373" t="s">
        <v>481</v>
      </c>
      <c r="H373" t="s">
        <v>1354</v>
      </c>
      <c r="I373" s="13" t="s">
        <v>880</v>
      </c>
      <c r="J373" s="13" t="s">
        <v>1437</v>
      </c>
      <c r="K373" s="13" t="s">
        <v>1438</v>
      </c>
      <c r="L373" s="13" t="s">
        <v>481</v>
      </c>
    </row>
    <row r="374" spans="1:12" x14ac:dyDescent="0.3">
      <c r="A374" t="s">
        <v>22</v>
      </c>
      <c r="B374" t="s">
        <v>752</v>
      </c>
      <c r="C374" s="23" t="s">
        <v>537</v>
      </c>
      <c r="D374" t="s">
        <v>1155</v>
      </c>
      <c r="F374" t="s">
        <v>219</v>
      </c>
      <c r="G374" t="s">
        <v>411</v>
      </c>
      <c r="H374" t="s">
        <v>1355</v>
      </c>
      <c r="I374" s="13" t="s">
        <v>881</v>
      </c>
      <c r="J374" s="13" t="s">
        <v>1437</v>
      </c>
      <c r="K374" s="13" t="s">
        <v>1438</v>
      </c>
      <c r="L374" s="13" t="s">
        <v>411</v>
      </c>
    </row>
    <row r="375" spans="1:12" x14ac:dyDescent="0.3">
      <c r="A375" t="s">
        <v>22</v>
      </c>
      <c r="B375" t="s">
        <v>753</v>
      </c>
      <c r="C375" s="23" t="s">
        <v>538</v>
      </c>
      <c r="D375" t="s">
        <v>1156</v>
      </c>
      <c r="F375" t="s">
        <v>219</v>
      </c>
      <c r="G375" t="s">
        <v>539</v>
      </c>
      <c r="H375" t="s">
        <v>1356</v>
      </c>
      <c r="I375" s="13" t="s">
        <v>882</v>
      </c>
      <c r="J375" s="13" t="s">
        <v>1437</v>
      </c>
      <c r="K375" s="13" t="s">
        <v>1438</v>
      </c>
      <c r="L375" s="13" t="s">
        <v>394</v>
      </c>
    </row>
    <row r="376" spans="1:12" x14ac:dyDescent="0.3">
      <c r="A376" t="s">
        <v>22</v>
      </c>
      <c r="B376" t="s">
        <v>958</v>
      </c>
      <c r="C376" s="23" t="s">
        <v>55</v>
      </c>
      <c r="D376" t="s">
        <v>1157</v>
      </c>
      <c r="F376" t="s">
        <v>219</v>
      </c>
      <c r="G376" t="s">
        <v>183</v>
      </c>
      <c r="H376" t="s">
        <v>1357</v>
      </c>
      <c r="I376" s="13" t="s">
        <v>937</v>
      </c>
      <c r="J376" s="13" t="s">
        <v>1437</v>
      </c>
      <c r="K376" s="13" t="s">
        <v>1438</v>
      </c>
      <c r="L376" s="13" t="s">
        <v>183</v>
      </c>
    </row>
    <row r="377" spans="1:12" x14ac:dyDescent="0.3">
      <c r="A377" t="s">
        <v>22</v>
      </c>
      <c r="B377" t="s">
        <v>754</v>
      </c>
      <c r="C377" s="23" t="s">
        <v>540</v>
      </c>
      <c r="D377" t="s">
        <v>1158</v>
      </c>
      <c r="F377" t="s">
        <v>219</v>
      </c>
      <c r="G377" t="s">
        <v>541</v>
      </c>
      <c r="H377" t="s">
        <v>1358</v>
      </c>
      <c r="I377" s="13" t="s">
        <v>883</v>
      </c>
      <c r="J377" s="13" t="s">
        <v>1437</v>
      </c>
      <c r="K377" s="13" t="s">
        <v>1438</v>
      </c>
      <c r="L377" s="13" t="s">
        <v>541</v>
      </c>
    </row>
    <row r="378" spans="1:12" x14ac:dyDescent="0.3">
      <c r="A378" t="s">
        <v>22</v>
      </c>
      <c r="B378" t="s">
        <v>755</v>
      </c>
      <c r="C378" s="23" t="s">
        <v>204</v>
      </c>
      <c r="D378" t="s">
        <v>1159</v>
      </c>
      <c r="F378" t="s">
        <v>219</v>
      </c>
      <c r="G378" t="s">
        <v>203</v>
      </c>
      <c r="H378" t="s">
        <v>1359</v>
      </c>
      <c r="I378" s="13" t="s">
        <v>884</v>
      </c>
      <c r="J378" s="13" t="s">
        <v>1437</v>
      </c>
      <c r="K378" s="13" t="s">
        <v>1438</v>
      </c>
      <c r="L378" s="13" t="s">
        <v>203</v>
      </c>
    </row>
    <row r="379" spans="1:12" x14ac:dyDescent="0.3">
      <c r="A379" t="s">
        <v>22</v>
      </c>
      <c r="B379" t="s">
        <v>959</v>
      </c>
      <c r="C379" s="23" t="s">
        <v>50</v>
      </c>
      <c r="D379" t="s">
        <v>1160</v>
      </c>
      <c r="F379" t="s">
        <v>219</v>
      </c>
      <c r="G379" t="s">
        <v>181</v>
      </c>
      <c r="H379" t="s">
        <v>1360</v>
      </c>
      <c r="I379" s="13" t="s">
        <v>939</v>
      </c>
      <c r="J379" s="13" t="s">
        <v>1437</v>
      </c>
      <c r="K379" s="13" t="s">
        <v>1438</v>
      </c>
      <c r="L379" s="13" t="s">
        <v>181</v>
      </c>
    </row>
    <row r="380" spans="1:12" x14ac:dyDescent="0.3">
      <c r="A380" t="s">
        <v>22</v>
      </c>
      <c r="B380" t="s">
        <v>756</v>
      </c>
      <c r="C380" s="23" t="s">
        <v>58</v>
      </c>
      <c r="D380" t="s">
        <v>1161</v>
      </c>
      <c r="F380" t="s">
        <v>219</v>
      </c>
      <c r="G380" t="s">
        <v>180</v>
      </c>
      <c r="H380" t="s">
        <v>1361</v>
      </c>
      <c r="I380" s="13" t="s">
        <v>885</v>
      </c>
      <c r="J380" s="13" t="s">
        <v>1437</v>
      </c>
      <c r="K380" s="13" t="s">
        <v>1438</v>
      </c>
      <c r="L380" s="13" t="s">
        <v>180</v>
      </c>
    </row>
    <row r="381" spans="1:12" x14ac:dyDescent="0.3">
      <c r="A381" t="s">
        <v>22</v>
      </c>
      <c r="B381" t="s">
        <v>757</v>
      </c>
      <c r="C381" s="23" t="s">
        <v>54</v>
      </c>
      <c r="D381" t="s">
        <v>1162</v>
      </c>
      <c r="F381" t="s">
        <v>219</v>
      </c>
      <c r="G381" t="s">
        <v>418</v>
      </c>
      <c r="H381" t="s">
        <v>1362</v>
      </c>
      <c r="I381" s="13" t="s">
        <v>886</v>
      </c>
      <c r="J381" s="13" t="s">
        <v>1437</v>
      </c>
      <c r="K381" s="13" t="s">
        <v>1438</v>
      </c>
      <c r="L381" s="13" t="s">
        <v>1477</v>
      </c>
    </row>
    <row r="382" spans="1:12" x14ac:dyDescent="0.3">
      <c r="A382" t="s">
        <v>22</v>
      </c>
      <c r="B382" t="s">
        <v>758</v>
      </c>
      <c r="C382" t="s">
        <v>41</v>
      </c>
      <c r="D382" t="s">
        <v>1163</v>
      </c>
      <c r="F382" t="s">
        <v>219</v>
      </c>
      <c r="G382" t="s">
        <v>482</v>
      </c>
      <c r="H382" t="s">
        <v>1363</v>
      </c>
      <c r="I382" s="13" t="s">
        <v>887</v>
      </c>
      <c r="J382" s="13" t="s">
        <v>1437</v>
      </c>
      <c r="K382" s="13" t="s">
        <v>1438</v>
      </c>
      <c r="L382" s="13" t="s">
        <v>482</v>
      </c>
    </row>
    <row r="383" spans="1:12" x14ac:dyDescent="0.3">
      <c r="A383" t="s">
        <v>22</v>
      </c>
      <c r="B383" t="s">
        <v>759</v>
      </c>
      <c r="C383" t="s">
        <v>44</v>
      </c>
      <c r="D383" t="s">
        <v>1164</v>
      </c>
      <c r="F383" t="s">
        <v>219</v>
      </c>
      <c r="G383" t="s">
        <v>167</v>
      </c>
      <c r="H383" t="s">
        <v>1364</v>
      </c>
      <c r="I383" s="13" t="s">
        <v>888</v>
      </c>
      <c r="J383" s="13" t="s">
        <v>1437</v>
      </c>
      <c r="K383" s="13" t="s">
        <v>1438</v>
      </c>
      <c r="L383" s="13" t="s">
        <v>167</v>
      </c>
    </row>
    <row r="384" spans="1:12" x14ac:dyDescent="0.3">
      <c r="A384" t="s">
        <v>22</v>
      </c>
      <c r="B384" t="s">
        <v>760</v>
      </c>
      <c r="C384" t="s">
        <v>542</v>
      </c>
      <c r="D384" t="s">
        <v>1223</v>
      </c>
      <c r="F384" t="s">
        <v>219</v>
      </c>
      <c r="G384" t="s">
        <v>389</v>
      </c>
      <c r="H384" t="s">
        <v>1365</v>
      </c>
      <c r="I384" s="13" t="s">
        <v>889</v>
      </c>
      <c r="J384" s="13" t="s">
        <v>1437</v>
      </c>
      <c r="K384" s="13" t="s">
        <v>1438</v>
      </c>
      <c r="L384" s="13" t="s">
        <v>484</v>
      </c>
    </row>
    <row r="385" spans="1:12" x14ac:dyDescent="0.3">
      <c r="A385" t="s">
        <v>22</v>
      </c>
      <c r="B385" t="s">
        <v>761</v>
      </c>
      <c r="C385" t="s">
        <v>56</v>
      </c>
      <c r="D385" t="s">
        <v>1166</v>
      </c>
      <c r="F385" t="s">
        <v>219</v>
      </c>
      <c r="G385" t="s">
        <v>185</v>
      </c>
      <c r="H385" t="s">
        <v>1366</v>
      </c>
      <c r="I385" s="13" t="s">
        <v>890</v>
      </c>
      <c r="J385" s="13" t="s">
        <v>1437</v>
      </c>
      <c r="K385" s="13" t="s">
        <v>1438</v>
      </c>
      <c r="L385" s="13" t="s">
        <v>185</v>
      </c>
    </row>
    <row r="386" spans="1:12" x14ac:dyDescent="0.3">
      <c r="A386" t="s">
        <v>22</v>
      </c>
      <c r="B386" t="s">
        <v>1435</v>
      </c>
      <c r="C386" t="s">
        <v>1436</v>
      </c>
      <c r="D386" t="s">
        <v>1430</v>
      </c>
      <c r="F386" t="s">
        <v>219</v>
      </c>
      <c r="G386" t="s">
        <v>1527</v>
      </c>
      <c r="H386" t="s">
        <v>1431</v>
      </c>
      <c r="I386" s="13" t="s">
        <v>1432</v>
      </c>
      <c r="J386" s="13" t="s">
        <v>1437</v>
      </c>
      <c r="K386" s="13" t="s">
        <v>1438</v>
      </c>
      <c r="L386" s="13" t="s">
        <v>1527</v>
      </c>
    </row>
    <row r="387" spans="1:12" x14ac:dyDescent="0.3">
      <c r="A387" t="s">
        <v>22</v>
      </c>
      <c r="B387" t="s">
        <v>762</v>
      </c>
      <c r="C387" t="s">
        <v>129</v>
      </c>
      <c r="D387" t="s">
        <v>1167</v>
      </c>
      <c r="F387" t="s">
        <v>219</v>
      </c>
      <c r="G387" t="s">
        <v>162</v>
      </c>
      <c r="H387" t="s">
        <v>1367</v>
      </c>
      <c r="I387" s="13" t="s">
        <v>891</v>
      </c>
      <c r="J387" s="13" t="s">
        <v>1437</v>
      </c>
      <c r="K387" s="13" t="s">
        <v>1438</v>
      </c>
      <c r="L387" s="13" t="s">
        <v>162</v>
      </c>
    </row>
    <row r="388" spans="1:12" x14ac:dyDescent="0.3">
      <c r="A388" t="s">
        <v>22</v>
      </c>
      <c r="B388" t="s">
        <v>763</v>
      </c>
      <c r="C388" t="s">
        <v>145</v>
      </c>
      <c r="D388" t="s">
        <v>1168</v>
      </c>
      <c r="F388" t="s">
        <v>219</v>
      </c>
      <c r="G388" t="s">
        <v>424</v>
      </c>
      <c r="H388" t="s">
        <v>1368</v>
      </c>
      <c r="I388" s="13" t="s">
        <v>892</v>
      </c>
      <c r="J388" s="13" t="s">
        <v>1437</v>
      </c>
      <c r="K388" s="13" t="s">
        <v>1438</v>
      </c>
      <c r="L388" s="13" t="s">
        <v>424</v>
      </c>
    </row>
    <row r="389" spans="1:12" x14ac:dyDescent="0.3">
      <c r="A389" t="s">
        <v>22</v>
      </c>
      <c r="B389" t="s">
        <v>1040</v>
      </c>
      <c r="C389" t="s">
        <v>1015</v>
      </c>
      <c r="D389" t="s">
        <v>1169</v>
      </c>
      <c r="F389" t="s">
        <v>219</v>
      </c>
      <c r="G389" t="s">
        <v>1528</v>
      </c>
      <c r="H389" t="s">
        <v>1369</v>
      </c>
      <c r="I389" s="13" t="s">
        <v>1017</v>
      </c>
      <c r="J389" s="13" t="s">
        <v>1437</v>
      </c>
      <c r="K389" s="13" t="s">
        <v>1438</v>
      </c>
      <c r="L389" s="13" t="s">
        <v>1528</v>
      </c>
    </row>
    <row r="390" spans="1:12" x14ac:dyDescent="0.3">
      <c r="A390" t="s">
        <v>22</v>
      </c>
      <c r="B390" t="s">
        <v>960</v>
      </c>
      <c r="C390" t="s">
        <v>199</v>
      </c>
      <c r="D390" t="s">
        <v>1170</v>
      </c>
      <c r="F390" t="s">
        <v>219</v>
      </c>
      <c r="G390" t="s">
        <v>389</v>
      </c>
      <c r="H390" t="s">
        <v>1370</v>
      </c>
      <c r="I390" s="13" t="s">
        <v>941</v>
      </c>
      <c r="J390" s="13" t="s">
        <v>1437</v>
      </c>
      <c r="K390" s="13" t="s">
        <v>1438</v>
      </c>
      <c r="L390" s="13" t="s">
        <v>1478</v>
      </c>
    </row>
    <row r="391" spans="1:12" x14ac:dyDescent="0.3">
      <c r="A391" t="s">
        <v>22</v>
      </c>
      <c r="B391" t="s">
        <v>764</v>
      </c>
      <c r="C391" t="s">
        <v>1014</v>
      </c>
      <c r="D391" t="s">
        <v>1171</v>
      </c>
      <c r="F391" t="s">
        <v>219</v>
      </c>
      <c r="G391" t="s">
        <v>421</v>
      </c>
      <c r="H391" t="s">
        <v>1371</v>
      </c>
      <c r="I391" s="13" t="s">
        <v>893</v>
      </c>
      <c r="J391" s="13" t="s">
        <v>1437</v>
      </c>
      <c r="K391" s="13" t="s">
        <v>1438</v>
      </c>
      <c r="L391" s="13" t="s">
        <v>1479</v>
      </c>
    </row>
    <row r="392" spans="1:12" x14ac:dyDescent="0.3">
      <c r="A392" t="s">
        <v>22</v>
      </c>
      <c r="B392" t="s">
        <v>765</v>
      </c>
      <c r="C392" t="s">
        <v>485</v>
      </c>
      <c r="D392" t="s">
        <v>1172</v>
      </c>
      <c r="F392" t="s">
        <v>219</v>
      </c>
      <c r="G392" t="s">
        <v>174</v>
      </c>
      <c r="H392" t="s">
        <v>1372</v>
      </c>
      <c r="I392" s="13" t="s">
        <v>894</v>
      </c>
      <c r="J392" s="13" t="s">
        <v>1437</v>
      </c>
      <c r="K392" s="13" t="s">
        <v>1438</v>
      </c>
      <c r="L392" s="13" t="s">
        <v>174</v>
      </c>
    </row>
    <row r="393" spans="1:12" x14ac:dyDescent="0.3">
      <c r="A393" t="s">
        <v>22</v>
      </c>
      <c r="B393" t="s">
        <v>961</v>
      </c>
      <c r="C393" t="s">
        <v>150</v>
      </c>
      <c r="D393" t="s">
        <v>1173</v>
      </c>
      <c r="F393" t="s">
        <v>219</v>
      </c>
      <c r="G393" t="s">
        <v>186</v>
      </c>
      <c r="H393" t="s">
        <v>1373</v>
      </c>
      <c r="I393" s="13" t="s">
        <v>943</v>
      </c>
      <c r="J393" s="13" t="s">
        <v>1437</v>
      </c>
      <c r="K393" s="13" t="s">
        <v>1438</v>
      </c>
      <c r="L393" s="13" t="s">
        <v>186</v>
      </c>
    </row>
    <row r="394" spans="1:12" x14ac:dyDescent="0.3">
      <c r="A394" t="s">
        <v>22</v>
      </c>
      <c r="B394" t="s">
        <v>766</v>
      </c>
      <c r="C394" t="s">
        <v>1041</v>
      </c>
      <c r="D394" t="s">
        <v>1224</v>
      </c>
      <c r="F394" t="s">
        <v>219</v>
      </c>
      <c r="G394" t="s">
        <v>543</v>
      </c>
      <c r="H394" t="s">
        <v>1374</v>
      </c>
      <c r="I394" s="13" t="s">
        <v>895</v>
      </c>
      <c r="J394" s="13" t="s">
        <v>1437</v>
      </c>
      <c r="K394" s="13" t="s">
        <v>1438</v>
      </c>
      <c r="L394" s="13" t="s">
        <v>393</v>
      </c>
    </row>
    <row r="395" spans="1:12" x14ac:dyDescent="0.3">
      <c r="A395" t="s">
        <v>22</v>
      </c>
      <c r="B395" t="s">
        <v>767</v>
      </c>
      <c r="C395" t="s">
        <v>127</v>
      </c>
      <c r="D395" t="s">
        <v>1175</v>
      </c>
      <c r="F395" t="s">
        <v>219</v>
      </c>
      <c r="G395" t="s">
        <v>391</v>
      </c>
      <c r="H395" t="s">
        <v>1375</v>
      </c>
      <c r="I395" s="13" t="s">
        <v>896</v>
      </c>
      <c r="J395" s="13" t="s">
        <v>1437</v>
      </c>
      <c r="K395" s="13" t="s">
        <v>1438</v>
      </c>
      <c r="L395" s="13" t="s">
        <v>1480</v>
      </c>
    </row>
    <row r="396" spans="1:12" x14ac:dyDescent="0.3">
      <c r="A396" t="s">
        <v>22</v>
      </c>
      <c r="B396" t="s">
        <v>768</v>
      </c>
      <c r="C396" t="s">
        <v>69</v>
      </c>
      <c r="D396" t="s">
        <v>1176</v>
      </c>
      <c r="F396" t="s">
        <v>219</v>
      </c>
      <c r="G396" t="s">
        <v>419</v>
      </c>
      <c r="H396" t="s">
        <v>1376</v>
      </c>
      <c r="I396" s="13" t="s">
        <v>897</v>
      </c>
      <c r="J396" s="13" t="s">
        <v>1437</v>
      </c>
      <c r="K396" s="13" t="s">
        <v>1438</v>
      </c>
      <c r="L396" s="13" t="s">
        <v>419</v>
      </c>
    </row>
    <row r="397" spans="1:12" x14ac:dyDescent="0.3">
      <c r="A397" t="s">
        <v>22</v>
      </c>
      <c r="B397" t="s">
        <v>769</v>
      </c>
      <c r="C397" t="s">
        <v>1019</v>
      </c>
      <c r="D397" t="s">
        <v>1177</v>
      </c>
      <c r="F397" t="s">
        <v>219</v>
      </c>
      <c r="G397" t="s">
        <v>399</v>
      </c>
      <c r="H397" t="s">
        <v>1377</v>
      </c>
      <c r="I397" s="13" t="s">
        <v>898</v>
      </c>
      <c r="J397" s="13" t="s">
        <v>1437</v>
      </c>
      <c r="K397" s="13" t="s">
        <v>1438</v>
      </c>
      <c r="L397" s="13" t="s">
        <v>399</v>
      </c>
    </row>
    <row r="398" spans="1:12" x14ac:dyDescent="0.3">
      <c r="A398" t="s">
        <v>22</v>
      </c>
      <c r="B398" t="s">
        <v>770</v>
      </c>
      <c r="C398" t="s">
        <v>1020</v>
      </c>
      <c r="D398" t="s">
        <v>1178</v>
      </c>
      <c r="F398" t="s">
        <v>219</v>
      </c>
      <c r="G398" t="s">
        <v>202</v>
      </c>
      <c r="H398" t="s">
        <v>370</v>
      </c>
      <c r="I398" s="13" t="s">
        <v>899</v>
      </c>
      <c r="J398" s="13" t="s">
        <v>1437</v>
      </c>
      <c r="K398" s="13" t="s">
        <v>1438</v>
      </c>
      <c r="L398" s="13" t="s">
        <v>202</v>
      </c>
    </row>
    <row r="399" spans="1:12" x14ac:dyDescent="0.3">
      <c r="A399" t="s">
        <v>22</v>
      </c>
      <c r="B399" t="s">
        <v>1042</v>
      </c>
      <c r="C399" t="s">
        <v>1495</v>
      </c>
      <c r="D399" t="s">
        <v>1179</v>
      </c>
      <c r="F399" t="s">
        <v>219</v>
      </c>
      <c r="G399" t="s">
        <v>1481</v>
      </c>
      <c r="H399" t="s">
        <v>1378</v>
      </c>
      <c r="I399" s="13" t="s">
        <v>1022</v>
      </c>
      <c r="J399" s="13" t="s">
        <v>1437</v>
      </c>
      <c r="K399" s="13" t="s">
        <v>1438</v>
      </c>
      <c r="L399" s="13" t="s">
        <v>1481</v>
      </c>
    </row>
    <row r="400" spans="1:12" x14ac:dyDescent="0.3">
      <c r="A400" t="s">
        <v>22</v>
      </c>
      <c r="B400" t="s">
        <v>771</v>
      </c>
      <c r="C400" t="s">
        <v>61</v>
      </c>
      <c r="D400" t="s">
        <v>1180</v>
      </c>
      <c r="F400" t="s">
        <v>219</v>
      </c>
      <c r="G400" t="s">
        <v>165</v>
      </c>
      <c r="H400" t="s">
        <v>1379</v>
      </c>
      <c r="I400" s="13" t="s">
        <v>900</v>
      </c>
      <c r="J400" s="13" t="s">
        <v>1437</v>
      </c>
      <c r="K400" s="13" t="s">
        <v>1438</v>
      </c>
      <c r="L400" s="13" t="s">
        <v>165</v>
      </c>
    </row>
    <row r="401" spans="1:12" x14ac:dyDescent="0.3">
      <c r="A401" t="s">
        <v>22</v>
      </c>
      <c r="B401" t="s">
        <v>772</v>
      </c>
      <c r="C401" t="s">
        <v>146</v>
      </c>
      <c r="D401" t="s">
        <v>1181</v>
      </c>
      <c r="F401" t="s">
        <v>219</v>
      </c>
      <c r="G401" t="s">
        <v>413</v>
      </c>
      <c r="H401" t="s">
        <v>1380</v>
      </c>
      <c r="I401" s="13" t="s">
        <v>901</v>
      </c>
      <c r="J401" s="13" t="s">
        <v>1437</v>
      </c>
      <c r="K401" s="13" t="s">
        <v>1438</v>
      </c>
      <c r="L401" s="13" t="s">
        <v>1482</v>
      </c>
    </row>
    <row r="402" spans="1:12" x14ac:dyDescent="0.3">
      <c r="A402" t="s">
        <v>22</v>
      </c>
      <c r="B402" t="s">
        <v>962</v>
      </c>
      <c r="C402" t="s">
        <v>63</v>
      </c>
      <c r="D402" t="s">
        <v>1182</v>
      </c>
      <c r="F402" t="s">
        <v>219</v>
      </c>
      <c r="G402" t="s">
        <v>78</v>
      </c>
      <c r="H402" t="s">
        <v>1381</v>
      </c>
      <c r="I402" s="13" t="s">
        <v>945</v>
      </c>
      <c r="J402" s="13" t="s">
        <v>1437</v>
      </c>
      <c r="K402" s="13" t="s">
        <v>1438</v>
      </c>
      <c r="L402" s="13" t="s">
        <v>78</v>
      </c>
    </row>
    <row r="403" spans="1:12" x14ac:dyDescent="0.3">
      <c r="A403" t="s">
        <v>22</v>
      </c>
      <c r="B403" t="s">
        <v>773</v>
      </c>
      <c r="C403" t="s">
        <v>544</v>
      </c>
      <c r="D403" t="s">
        <v>1183</v>
      </c>
      <c r="F403" t="s">
        <v>219</v>
      </c>
      <c r="G403" t="s">
        <v>415</v>
      </c>
      <c r="H403" t="s">
        <v>1382</v>
      </c>
      <c r="I403" s="13" t="s">
        <v>902</v>
      </c>
      <c r="J403" s="13" t="s">
        <v>1437</v>
      </c>
      <c r="K403" s="13" t="s">
        <v>1438</v>
      </c>
      <c r="L403" s="13" t="s">
        <v>415</v>
      </c>
    </row>
    <row r="404" spans="1:12" x14ac:dyDescent="0.3">
      <c r="A404" t="s">
        <v>22</v>
      </c>
      <c r="B404" t="s">
        <v>774</v>
      </c>
      <c r="C404" t="s">
        <v>545</v>
      </c>
      <c r="D404" t="s">
        <v>1184</v>
      </c>
      <c r="F404" t="s">
        <v>219</v>
      </c>
      <c r="G404" t="s">
        <v>391</v>
      </c>
      <c r="H404" t="s">
        <v>1383</v>
      </c>
      <c r="I404" s="13" t="s">
        <v>1023</v>
      </c>
      <c r="J404" s="13" t="s">
        <v>1437</v>
      </c>
      <c r="K404" s="13" t="s">
        <v>1438</v>
      </c>
      <c r="L404" s="13" t="s">
        <v>1483</v>
      </c>
    </row>
    <row r="405" spans="1:12" x14ac:dyDescent="0.3">
      <c r="A405" t="s">
        <v>22</v>
      </c>
      <c r="B405" t="s">
        <v>775</v>
      </c>
      <c r="C405" t="s">
        <v>67</v>
      </c>
      <c r="D405" t="s">
        <v>1185</v>
      </c>
      <c r="F405" t="s">
        <v>219</v>
      </c>
      <c r="G405" t="s">
        <v>159</v>
      </c>
      <c r="H405" t="s">
        <v>1384</v>
      </c>
      <c r="I405" s="13" t="s">
        <v>903</v>
      </c>
      <c r="J405" s="13" t="s">
        <v>1437</v>
      </c>
      <c r="K405" s="13" t="s">
        <v>1438</v>
      </c>
      <c r="L405" s="13" t="s">
        <v>159</v>
      </c>
    </row>
    <row r="406" spans="1:12" x14ac:dyDescent="0.3">
      <c r="A406" t="s">
        <v>22</v>
      </c>
      <c r="B406" t="s">
        <v>776</v>
      </c>
      <c r="C406" t="s">
        <v>64</v>
      </c>
      <c r="D406" t="s">
        <v>1225</v>
      </c>
      <c r="F406" t="s">
        <v>219</v>
      </c>
      <c r="G406" t="s">
        <v>546</v>
      </c>
      <c r="H406" t="s">
        <v>1385</v>
      </c>
      <c r="I406" s="13" t="s">
        <v>904</v>
      </c>
      <c r="J406" s="13" t="s">
        <v>1437</v>
      </c>
      <c r="K406" s="13" t="s">
        <v>1438</v>
      </c>
      <c r="L406" s="13" t="s">
        <v>154</v>
      </c>
    </row>
    <row r="407" spans="1:12" x14ac:dyDescent="0.3">
      <c r="A407" t="s">
        <v>22</v>
      </c>
      <c r="B407" t="s">
        <v>777</v>
      </c>
      <c r="C407" t="s">
        <v>1024</v>
      </c>
      <c r="D407" t="s">
        <v>1187</v>
      </c>
      <c r="F407" t="s">
        <v>219</v>
      </c>
      <c r="G407" t="s">
        <v>422</v>
      </c>
      <c r="H407" t="s">
        <v>1386</v>
      </c>
      <c r="I407" s="13" t="s">
        <v>905</v>
      </c>
      <c r="J407" s="13" t="s">
        <v>1437</v>
      </c>
      <c r="K407" s="13" t="s">
        <v>1438</v>
      </c>
      <c r="L407" s="13" t="s">
        <v>422</v>
      </c>
    </row>
    <row r="408" spans="1:12" x14ac:dyDescent="0.3">
      <c r="A408" t="s">
        <v>22</v>
      </c>
      <c r="B408" t="s">
        <v>963</v>
      </c>
      <c r="C408" t="s">
        <v>1511</v>
      </c>
      <c r="D408" t="s">
        <v>1512</v>
      </c>
      <c r="F408" t="s">
        <v>219</v>
      </c>
      <c r="G408" t="s">
        <v>1513</v>
      </c>
      <c r="H408" t="s">
        <v>1387</v>
      </c>
      <c r="I408" s="13" t="s">
        <v>947</v>
      </c>
      <c r="J408" s="13" t="s">
        <v>1437</v>
      </c>
      <c r="K408" s="13" t="s">
        <v>1438</v>
      </c>
      <c r="L408" s="13" t="s">
        <v>1513</v>
      </c>
    </row>
    <row r="409" spans="1:12" x14ac:dyDescent="0.3">
      <c r="A409" t="s">
        <v>22</v>
      </c>
      <c r="B409" t="s">
        <v>778</v>
      </c>
      <c r="C409" t="s">
        <v>1025</v>
      </c>
      <c r="D409" t="s">
        <v>1188</v>
      </c>
      <c r="F409" t="s">
        <v>219</v>
      </c>
      <c r="G409" t="s">
        <v>184</v>
      </c>
      <c r="H409" t="s">
        <v>1388</v>
      </c>
      <c r="I409" s="13" t="s">
        <v>906</v>
      </c>
      <c r="J409" s="13" t="s">
        <v>1437</v>
      </c>
      <c r="K409" s="13" t="s">
        <v>1438</v>
      </c>
      <c r="L409" s="13" t="s">
        <v>1484</v>
      </c>
    </row>
    <row r="410" spans="1:12" x14ac:dyDescent="0.3">
      <c r="A410" t="s">
        <v>22</v>
      </c>
      <c r="B410" t="s">
        <v>779</v>
      </c>
      <c r="C410" t="s">
        <v>207</v>
      </c>
      <c r="D410" t="s">
        <v>1189</v>
      </c>
      <c r="F410" t="s">
        <v>219</v>
      </c>
      <c r="G410" t="s">
        <v>205</v>
      </c>
      <c r="H410" t="s">
        <v>1389</v>
      </c>
      <c r="I410" s="13" t="s">
        <v>1064</v>
      </c>
      <c r="J410" s="13" t="s">
        <v>1437</v>
      </c>
      <c r="K410" s="13" t="s">
        <v>1438</v>
      </c>
      <c r="L410" s="13" t="s">
        <v>205</v>
      </c>
    </row>
    <row r="411" spans="1:12" x14ac:dyDescent="0.3">
      <c r="A411" t="s">
        <v>22</v>
      </c>
      <c r="B411" t="s">
        <v>780</v>
      </c>
      <c r="C411" t="s">
        <v>547</v>
      </c>
      <c r="D411" t="s">
        <v>1190</v>
      </c>
      <c r="F411" t="s">
        <v>219</v>
      </c>
      <c r="G411" t="s">
        <v>388</v>
      </c>
      <c r="H411" t="s">
        <v>1390</v>
      </c>
      <c r="I411" s="13" t="s">
        <v>907</v>
      </c>
      <c r="J411" s="13" t="s">
        <v>1437</v>
      </c>
      <c r="K411" s="13" t="s">
        <v>1438</v>
      </c>
      <c r="L411" s="13" t="s">
        <v>388</v>
      </c>
    </row>
    <row r="412" spans="1:12" x14ac:dyDescent="0.3">
      <c r="A412" t="s">
        <v>22</v>
      </c>
      <c r="B412" t="s">
        <v>781</v>
      </c>
      <c r="C412" t="s">
        <v>486</v>
      </c>
      <c r="D412" t="s">
        <v>1191</v>
      </c>
      <c r="F412" t="s">
        <v>219</v>
      </c>
      <c r="G412" t="s">
        <v>548</v>
      </c>
      <c r="H412" t="s">
        <v>1391</v>
      </c>
      <c r="I412" s="13" t="s">
        <v>908</v>
      </c>
      <c r="J412" s="13" t="s">
        <v>1437</v>
      </c>
      <c r="K412" s="13" t="s">
        <v>1438</v>
      </c>
      <c r="L412" s="13" t="s">
        <v>155</v>
      </c>
    </row>
    <row r="413" spans="1:12" x14ac:dyDescent="0.3">
      <c r="A413" t="s">
        <v>22</v>
      </c>
      <c r="B413" t="s">
        <v>782</v>
      </c>
      <c r="C413" t="s">
        <v>146</v>
      </c>
      <c r="D413" t="s">
        <v>1192</v>
      </c>
      <c r="F413" t="s">
        <v>219</v>
      </c>
      <c r="G413" t="s">
        <v>413</v>
      </c>
      <c r="H413" t="s">
        <v>1392</v>
      </c>
      <c r="I413" s="13" t="s">
        <v>909</v>
      </c>
      <c r="J413" s="13" t="s">
        <v>1437</v>
      </c>
      <c r="K413" s="13" t="s">
        <v>1438</v>
      </c>
      <c r="L413" s="13" t="s">
        <v>1485</v>
      </c>
    </row>
    <row r="414" spans="1:12" x14ac:dyDescent="0.3">
      <c r="A414" t="s">
        <v>22</v>
      </c>
      <c r="B414" t="s">
        <v>783</v>
      </c>
      <c r="C414" t="s">
        <v>146</v>
      </c>
      <c r="D414" t="s">
        <v>1193</v>
      </c>
      <c r="F414" t="s">
        <v>219</v>
      </c>
      <c r="G414" t="s">
        <v>413</v>
      </c>
      <c r="H414" t="s">
        <v>1393</v>
      </c>
      <c r="I414" s="13" t="s">
        <v>910</v>
      </c>
      <c r="J414" s="13" t="s">
        <v>1437</v>
      </c>
      <c r="K414" s="13" t="s">
        <v>1438</v>
      </c>
      <c r="L414" s="13" t="s">
        <v>1486</v>
      </c>
    </row>
    <row r="415" spans="1:12" x14ac:dyDescent="0.3">
      <c r="A415" t="s">
        <v>22</v>
      </c>
      <c r="B415" t="s">
        <v>964</v>
      </c>
      <c r="C415" t="s">
        <v>487</v>
      </c>
      <c r="D415" t="s">
        <v>1226</v>
      </c>
      <c r="F415" t="s">
        <v>219</v>
      </c>
      <c r="G415" t="s">
        <v>381</v>
      </c>
      <c r="H415" t="s">
        <v>1394</v>
      </c>
      <c r="I415" s="13" t="s">
        <v>949</v>
      </c>
      <c r="J415" s="13" t="s">
        <v>1438</v>
      </c>
      <c r="K415" s="13" t="s">
        <v>1437</v>
      </c>
      <c r="L415" s="13" t="s">
        <v>381</v>
      </c>
    </row>
    <row r="416" spans="1:12" x14ac:dyDescent="0.3">
      <c r="A416" t="s">
        <v>22</v>
      </c>
      <c r="B416" t="s">
        <v>784</v>
      </c>
      <c r="C416" t="s">
        <v>542</v>
      </c>
      <c r="D416" t="s">
        <v>1195</v>
      </c>
      <c r="F416" t="s">
        <v>219</v>
      </c>
      <c r="G416" t="s">
        <v>389</v>
      </c>
      <c r="H416" t="s">
        <v>1395</v>
      </c>
      <c r="I416" s="13" t="s">
        <v>911</v>
      </c>
      <c r="J416" s="13" t="s">
        <v>1437</v>
      </c>
      <c r="K416" s="13" t="s">
        <v>1438</v>
      </c>
      <c r="L416" s="13" t="s">
        <v>1487</v>
      </c>
    </row>
    <row r="417" spans="1:12" x14ac:dyDescent="0.3">
      <c r="A417" t="s">
        <v>22</v>
      </c>
      <c r="B417" t="s">
        <v>785</v>
      </c>
      <c r="C417" t="s">
        <v>49</v>
      </c>
      <c r="D417" t="s">
        <v>1196</v>
      </c>
      <c r="F417" t="s">
        <v>219</v>
      </c>
      <c r="G417" t="s">
        <v>412</v>
      </c>
      <c r="H417" t="s">
        <v>1396</v>
      </c>
      <c r="I417" s="13" t="s">
        <v>912</v>
      </c>
      <c r="J417" s="13" t="s">
        <v>1437</v>
      </c>
      <c r="K417" s="13" t="s">
        <v>1438</v>
      </c>
      <c r="L417" s="13" t="s">
        <v>412</v>
      </c>
    </row>
    <row r="418" spans="1:12" x14ac:dyDescent="0.3">
      <c r="A418" t="s">
        <v>22</v>
      </c>
      <c r="B418" t="s">
        <v>786</v>
      </c>
      <c r="C418" t="s">
        <v>208</v>
      </c>
      <c r="D418" t="s">
        <v>1197</v>
      </c>
      <c r="F418" t="s">
        <v>219</v>
      </c>
      <c r="G418" t="s">
        <v>206</v>
      </c>
      <c r="H418" t="s">
        <v>1397</v>
      </c>
      <c r="I418" s="13" t="s">
        <v>913</v>
      </c>
      <c r="J418" s="13" t="s">
        <v>1437</v>
      </c>
      <c r="K418" s="13" t="s">
        <v>1438</v>
      </c>
      <c r="L418" s="13" t="s">
        <v>206</v>
      </c>
    </row>
    <row r="419" spans="1:12" x14ac:dyDescent="0.3">
      <c r="A419" t="s">
        <v>22</v>
      </c>
      <c r="B419" t="s">
        <v>787</v>
      </c>
      <c r="C419" t="s">
        <v>488</v>
      </c>
      <c r="D419" t="s">
        <v>1198</v>
      </c>
      <c r="F419" t="s">
        <v>219</v>
      </c>
      <c r="G419" t="s">
        <v>489</v>
      </c>
      <c r="H419" t="s">
        <v>1398</v>
      </c>
      <c r="I419" s="13" t="s">
        <v>914</v>
      </c>
      <c r="J419" s="13" t="s">
        <v>1437</v>
      </c>
      <c r="K419" s="13" t="s">
        <v>1438</v>
      </c>
      <c r="L419" s="13" t="s">
        <v>489</v>
      </c>
    </row>
    <row r="420" spans="1:12" x14ac:dyDescent="0.3">
      <c r="A420" t="s">
        <v>22</v>
      </c>
      <c r="B420" t="s">
        <v>788</v>
      </c>
      <c r="C420" t="s">
        <v>490</v>
      </c>
      <c r="D420" t="s">
        <v>1199</v>
      </c>
      <c r="F420" t="s">
        <v>219</v>
      </c>
      <c r="G420" t="s">
        <v>491</v>
      </c>
      <c r="H420" t="s">
        <v>1399</v>
      </c>
      <c r="I420" s="13" t="s">
        <v>915</v>
      </c>
      <c r="J420" s="13" t="s">
        <v>1437</v>
      </c>
      <c r="K420" s="13" t="s">
        <v>1438</v>
      </c>
      <c r="L420" s="13" t="s">
        <v>491</v>
      </c>
    </row>
    <row r="421" spans="1:12" x14ac:dyDescent="0.3">
      <c r="A421" t="s">
        <v>22</v>
      </c>
      <c r="B421" t="s">
        <v>789</v>
      </c>
      <c r="C421" t="s">
        <v>492</v>
      </c>
      <c r="D421" t="s">
        <v>1200</v>
      </c>
      <c r="F421" t="s">
        <v>219</v>
      </c>
      <c r="G421" t="s">
        <v>493</v>
      </c>
      <c r="H421" t="s">
        <v>1400</v>
      </c>
      <c r="I421" s="13" t="s">
        <v>916</v>
      </c>
      <c r="J421" s="13" t="s">
        <v>1437</v>
      </c>
      <c r="K421" s="13" t="s">
        <v>1438</v>
      </c>
      <c r="L421" s="13" t="s">
        <v>493</v>
      </c>
    </row>
    <row r="422" spans="1:12" x14ac:dyDescent="0.3">
      <c r="A422" t="s">
        <v>22</v>
      </c>
      <c r="B422" t="s">
        <v>790</v>
      </c>
      <c r="C422" t="s">
        <v>494</v>
      </c>
      <c r="D422" t="s">
        <v>1201</v>
      </c>
      <c r="F422" t="s">
        <v>219</v>
      </c>
      <c r="G422" t="s">
        <v>495</v>
      </c>
      <c r="H422" t="s">
        <v>1401</v>
      </c>
      <c r="I422" t="s">
        <v>917</v>
      </c>
      <c r="J422" t="s">
        <v>1437</v>
      </c>
      <c r="K422" t="s">
        <v>1438</v>
      </c>
      <c r="L422" t="s">
        <v>495</v>
      </c>
    </row>
    <row r="423" spans="1:12" x14ac:dyDescent="0.3">
      <c r="A423" t="s">
        <v>22</v>
      </c>
      <c r="B423" t="s">
        <v>791</v>
      </c>
      <c r="C423" t="s">
        <v>496</v>
      </c>
      <c r="D423" t="s">
        <v>1202</v>
      </c>
      <c r="F423" t="s">
        <v>219</v>
      </c>
      <c r="G423" t="s">
        <v>497</v>
      </c>
      <c r="H423" t="s">
        <v>1402</v>
      </c>
      <c r="I423" t="s">
        <v>918</v>
      </c>
      <c r="J423" t="s">
        <v>1437</v>
      </c>
      <c r="K423" t="s">
        <v>1438</v>
      </c>
      <c r="L423" t="s">
        <v>497</v>
      </c>
    </row>
    <row r="424" spans="1:12" x14ac:dyDescent="0.3">
      <c r="A424" t="s">
        <v>22</v>
      </c>
      <c r="B424" t="s">
        <v>792</v>
      </c>
      <c r="C424" t="s">
        <v>498</v>
      </c>
      <c r="D424" t="s">
        <v>1203</v>
      </c>
      <c r="F424" t="s">
        <v>219</v>
      </c>
      <c r="G424" t="s">
        <v>499</v>
      </c>
      <c r="H424" t="s">
        <v>1403</v>
      </c>
      <c r="I424" t="s">
        <v>919</v>
      </c>
      <c r="J424" t="s">
        <v>1437</v>
      </c>
      <c r="K424" t="s">
        <v>1438</v>
      </c>
      <c r="L424" t="s">
        <v>499</v>
      </c>
    </row>
    <row r="425" spans="1:12" x14ac:dyDescent="0.3">
      <c r="A425" t="s">
        <v>22</v>
      </c>
      <c r="B425" t="s">
        <v>965</v>
      </c>
      <c r="C425" t="s">
        <v>500</v>
      </c>
      <c r="D425" t="s">
        <v>1204</v>
      </c>
      <c r="F425" t="s">
        <v>219</v>
      </c>
      <c r="G425" t="s">
        <v>501</v>
      </c>
      <c r="H425" t="s">
        <v>1404</v>
      </c>
      <c r="I425" t="s">
        <v>951</v>
      </c>
      <c r="J425" t="s">
        <v>1437</v>
      </c>
      <c r="K425" t="s">
        <v>1438</v>
      </c>
      <c r="L425" t="s">
        <v>501</v>
      </c>
    </row>
    <row r="426" spans="1:12" x14ac:dyDescent="0.3">
      <c r="A426" t="s">
        <v>22</v>
      </c>
      <c r="B426" t="s">
        <v>793</v>
      </c>
      <c r="C426" t="s">
        <v>502</v>
      </c>
      <c r="D426" t="s">
        <v>1205</v>
      </c>
      <c r="F426" t="s">
        <v>219</v>
      </c>
      <c r="G426" t="s">
        <v>503</v>
      </c>
      <c r="H426" t="s">
        <v>1405</v>
      </c>
      <c r="I426" t="s">
        <v>920</v>
      </c>
      <c r="J426" t="s">
        <v>1437</v>
      </c>
      <c r="K426" t="s">
        <v>1438</v>
      </c>
      <c r="L426" t="s">
        <v>503</v>
      </c>
    </row>
    <row r="427" spans="1:12" x14ac:dyDescent="0.3">
      <c r="A427" t="s">
        <v>22</v>
      </c>
      <c r="B427" t="s">
        <v>1036</v>
      </c>
      <c r="C427" t="s">
        <v>1001</v>
      </c>
      <c r="D427" t="s">
        <v>1101</v>
      </c>
      <c r="F427" t="s">
        <v>219</v>
      </c>
      <c r="G427" t="s">
        <v>1002</v>
      </c>
      <c r="H427" t="s">
        <v>1302</v>
      </c>
      <c r="I427" t="s">
        <v>1004</v>
      </c>
      <c r="J427" t="s">
        <v>1437</v>
      </c>
      <c r="K427" t="s">
        <v>1438</v>
      </c>
      <c r="L427" t="s">
        <v>1488</v>
      </c>
    </row>
    <row r="428" spans="1:12" x14ac:dyDescent="0.3">
      <c r="A428" t="s">
        <v>22</v>
      </c>
      <c r="B428" t="s">
        <v>794</v>
      </c>
      <c r="C428" t="s">
        <v>54</v>
      </c>
      <c r="D428" t="s">
        <v>1206</v>
      </c>
      <c r="F428" t="s">
        <v>219</v>
      </c>
      <c r="G428" t="s">
        <v>418</v>
      </c>
      <c r="H428" t="s">
        <v>1433</v>
      </c>
      <c r="I428" t="s">
        <v>952</v>
      </c>
      <c r="J428" t="s">
        <v>1437</v>
      </c>
      <c r="K428" t="s">
        <v>1438</v>
      </c>
      <c r="L428" t="s">
        <v>1489</v>
      </c>
    </row>
    <row r="429" spans="1:12" x14ac:dyDescent="0.3">
      <c r="A429" t="s">
        <v>22</v>
      </c>
      <c r="B429" t="s">
        <v>1043</v>
      </c>
      <c r="C429" t="s">
        <v>1001</v>
      </c>
      <c r="D429" t="s">
        <v>1207</v>
      </c>
      <c r="F429" t="s">
        <v>219</v>
      </c>
      <c r="G429" t="s">
        <v>1002</v>
      </c>
      <c r="H429" t="s">
        <v>1406</v>
      </c>
      <c r="I429" t="s">
        <v>1027</v>
      </c>
      <c r="J429" t="s">
        <v>1437</v>
      </c>
      <c r="K429" t="s">
        <v>1438</v>
      </c>
      <c r="L429" t="s">
        <v>1490</v>
      </c>
    </row>
    <row r="430" spans="1:12" x14ac:dyDescent="0.3">
      <c r="A430" t="s">
        <v>22</v>
      </c>
      <c r="B430" t="s">
        <v>1044</v>
      </c>
      <c r="C430" t="s">
        <v>1028</v>
      </c>
      <c r="D430" t="s">
        <v>1208</v>
      </c>
      <c r="F430" t="s">
        <v>219</v>
      </c>
      <c r="G430" t="s">
        <v>1029</v>
      </c>
      <c r="H430" t="s">
        <v>1407</v>
      </c>
      <c r="I430" t="s">
        <v>1031</v>
      </c>
      <c r="J430" t="s">
        <v>1437</v>
      </c>
      <c r="K430" t="s">
        <v>1438</v>
      </c>
      <c r="L430" t="s">
        <v>1029</v>
      </c>
    </row>
    <row r="431" spans="1:12" x14ac:dyDescent="0.3">
      <c r="A431" t="s">
        <v>22</v>
      </c>
      <c r="B431" t="s">
        <v>1045</v>
      </c>
      <c r="C431" t="s">
        <v>1032</v>
      </c>
      <c r="D431" t="s">
        <v>1209</v>
      </c>
      <c r="F431" t="s">
        <v>219</v>
      </c>
      <c r="G431" t="s">
        <v>1033</v>
      </c>
      <c r="H431" t="s">
        <v>1408</v>
      </c>
      <c r="I431" t="s">
        <v>1035</v>
      </c>
      <c r="J431" t="s">
        <v>1437</v>
      </c>
      <c r="K431" t="s">
        <v>1438</v>
      </c>
      <c r="L431" t="s">
        <v>1033</v>
      </c>
    </row>
    <row r="432" spans="1:12" x14ac:dyDescent="0.3">
      <c r="A432" t="s">
        <v>22</v>
      </c>
      <c r="B432" t="s">
        <v>1069</v>
      </c>
      <c r="C432" t="s">
        <v>1065</v>
      </c>
      <c r="D432" t="s">
        <v>1210</v>
      </c>
      <c r="F432" t="s">
        <v>219</v>
      </c>
      <c r="G432" t="s">
        <v>1066</v>
      </c>
      <c r="H432" t="s">
        <v>1409</v>
      </c>
      <c r="I432" t="s">
        <v>1068</v>
      </c>
      <c r="J432" t="s">
        <v>1437</v>
      </c>
      <c r="K432" t="s">
        <v>1438</v>
      </c>
      <c r="L432" t="s">
        <v>1066</v>
      </c>
    </row>
    <row r="433" spans="1:12" x14ac:dyDescent="0.3">
      <c r="A433" t="s">
        <v>22</v>
      </c>
      <c r="B433" t="s">
        <v>1505</v>
      </c>
      <c r="C433" t="s">
        <v>1497</v>
      </c>
      <c r="D433" t="s">
        <v>1498</v>
      </c>
      <c r="F433" t="s">
        <v>219</v>
      </c>
      <c r="G433" t="s">
        <v>1491</v>
      </c>
      <c r="H433" t="s">
        <v>1499</v>
      </c>
      <c r="I433" t="s">
        <v>1500</v>
      </c>
      <c r="J433" t="s">
        <v>1437</v>
      </c>
      <c r="K433" t="s">
        <v>1438</v>
      </c>
      <c r="L433" t="s">
        <v>1491</v>
      </c>
    </row>
    <row r="434" spans="1:12" x14ac:dyDescent="0.3">
      <c r="A434" t="s">
        <v>22</v>
      </c>
      <c r="B434" t="s">
        <v>1506</v>
      </c>
      <c r="C434" t="s">
        <v>531</v>
      </c>
      <c r="D434" t="s">
        <v>1502</v>
      </c>
      <c r="F434" t="s">
        <v>219</v>
      </c>
      <c r="G434" t="s">
        <v>173</v>
      </c>
      <c r="H434" t="s">
        <v>1503</v>
      </c>
      <c r="I434" t="s">
        <v>1504</v>
      </c>
      <c r="J434" t="s">
        <v>1437</v>
      </c>
      <c r="K434" t="s">
        <v>1438</v>
      </c>
      <c r="L434" t="s">
        <v>173</v>
      </c>
    </row>
    <row r="435" spans="1:12" x14ac:dyDescent="0.3">
      <c r="A435" t="s">
        <v>22</v>
      </c>
      <c r="B435" t="s">
        <v>795</v>
      </c>
      <c r="C435" t="s">
        <v>795</v>
      </c>
      <c r="D435" t="s">
        <v>1227</v>
      </c>
      <c r="F435" t="s">
        <v>552</v>
      </c>
      <c r="G435" t="s">
        <v>795</v>
      </c>
      <c r="H435" t="s">
        <v>795</v>
      </c>
      <c r="I435" t="s">
        <v>552</v>
      </c>
      <c r="J435" t="s">
        <v>795</v>
      </c>
      <c r="K435" t="s">
        <v>795</v>
      </c>
      <c r="L435" t="s">
        <v>795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zoomScaleNormal="100" workbookViewId="0">
      <selection activeCell="E2" sqref="E2"/>
    </sheetView>
  </sheetViews>
  <sheetFormatPr defaultRowHeight="14.4" x14ac:dyDescent="0.3"/>
  <cols>
    <col min="1" max="1" width="18.5546875" bestFit="1" customWidth="1"/>
    <col min="2" max="2" width="20.109375" bestFit="1" customWidth="1"/>
    <col min="3" max="3" width="16.5546875" customWidth="1"/>
    <col min="4" max="4" width="21.44140625" bestFit="1" customWidth="1"/>
    <col min="5" max="5" width="13.44140625" bestFit="1" customWidth="1"/>
  </cols>
  <sheetData>
    <row r="1" spans="1:6" x14ac:dyDescent="0.3">
      <c r="A1" t="s">
        <v>12</v>
      </c>
      <c r="B1" t="s">
        <v>13</v>
      </c>
      <c r="C1" t="s">
        <v>210</v>
      </c>
      <c r="D1" s="11" t="s">
        <v>151</v>
      </c>
      <c r="E1" t="s">
        <v>15</v>
      </c>
      <c r="F1" t="s">
        <v>242</v>
      </c>
    </row>
    <row r="2" spans="1:6" x14ac:dyDescent="0.3">
      <c r="A2" t="s">
        <v>190</v>
      </c>
      <c r="B2" t="s">
        <v>373</v>
      </c>
      <c r="C2" t="s">
        <v>241</v>
      </c>
      <c r="D2" t="s">
        <v>14</v>
      </c>
      <c r="E2" s="30" t="s">
        <v>1463</v>
      </c>
      <c r="F2" t="s">
        <v>243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survey</vt:lpstr>
      <vt:lpstr>choices</vt:lpstr>
      <vt:lpstr>settings</vt:lpstr>
      <vt:lpstr>settings!Print_Area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Guillermo Prieto Porriños</cp:lastModifiedBy>
  <dcterms:created xsi:type="dcterms:W3CDTF">2018-06-27T08:48:30Z</dcterms:created>
  <dcterms:modified xsi:type="dcterms:W3CDTF">2026-04-17T09:16:26Z</dcterms:modified>
</cp:coreProperties>
</file>